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RODUCTION REPORT DASHBOARD - Copy\data\"/>
    </mc:Choice>
  </mc:AlternateContent>
  <bookViews>
    <workbookView xWindow="0" yWindow="0" windowWidth="24000" windowHeight="8895" activeTab="2"/>
  </bookViews>
  <sheets>
    <sheet name="Production_data" sheetId="1" r:id="rId1"/>
    <sheet name="Downtime_data" sheetId="6" r:id="rId2"/>
    <sheet name="Size_vise_Production" sheetId="7" r:id="rId3"/>
    <sheet name="Machine_vise_production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4" i="1" l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23" i="1"/>
  <c r="I73" i="1" l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49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</calcChain>
</file>

<file path=xl/sharedStrings.xml><?xml version="1.0" encoding="utf-8"?>
<sst xmlns="http://schemas.openxmlformats.org/spreadsheetml/2006/main" count="425" uniqueCount="133">
  <si>
    <t>Date</t>
  </si>
  <si>
    <t>Wire Drawing (Ton)</t>
  </si>
  <si>
    <t xml:space="preserve">Nail Catogery </t>
  </si>
  <si>
    <t>2x10</t>
  </si>
  <si>
    <t>3x8</t>
  </si>
  <si>
    <t>5x5</t>
  </si>
  <si>
    <t>Month_Year</t>
  </si>
  <si>
    <t>6x5</t>
  </si>
  <si>
    <t>Raw material (Ton)</t>
  </si>
  <si>
    <t>Nail production(Ton)</t>
  </si>
  <si>
    <t>Iron Dust (Ton)</t>
  </si>
  <si>
    <t>Waste(Ton)</t>
  </si>
  <si>
    <t>Packaging(25kg bags)</t>
  </si>
  <si>
    <t>Packaging (Ton)</t>
  </si>
  <si>
    <t>Machine shift time (hours)</t>
  </si>
  <si>
    <t>Total downtime (hours)</t>
  </si>
  <si>
    <t>Rod Production (Ton)</t>
  </si>
  <si>
    <t xml:space="preserve">Rod Catogery </t>
  </si>
  <si>
    <t>Rod_Production</t>
  </si>
  <si>
    <t xml:space="preserve">Nail_Production </t>
  </si>
  <si>
    <t>1 1/2 x12</t>
  </si>
  <si>
    <t>3.5MM X 9FEET</t>
  </si>
  <si>
    <t>1 1/2 x14</t>
  </si>
  <si>
    <t>4.5MM X 9FEET</t>
  </si>
  <si>
    <t>1 X 8</t>
  </si>
  <si>
    <t>5.00MM X 18FEET</t>
  </si>
  <si>
    <t xml:space="preserve">1x14 </t>
  </si>
  <si>
    <t>5.20MM X 18FEET</t>
  </si>
  <si>
    <t>5.30MM X 18FEET</t>
  </si>
  <si>
    <t>I/W/ROD (1/16)</t>
  </si>
  <si>
    <t>4x5</t>
  </si>
  <si>
    <t>MS DRAWN BAR X 18 FEET (ORI)</t>
  </si>
  <si>
    <t>Other</t>
  </si>
  <si>
    <t xml:space="preserve">1 1/4 x14 </t>
  </si>
  <si>
    <t>MS DRAWN BAR X 18 FEET</t>
  </si>
  <si>
    <t>1 1/2 x10</t>
  </si>
  <si>
    <t>2 1/2 x10</t>
  </si>
  <si>
    <t>Total Rejection (Ton)</t>
  </si>
  <si>
    <t>Machine</t>
  </si>
  <si>
    <t>Nail machine 1</t>
  </si>
  <si>
    <t>Nail machine 2</t>
  </si>
  <si>
    <t>Nail machine 3</t>
  </si>
  <si>
    <t>Nail machine 4</t>
  </si>
  <si>
    <t>Nail machine 5</t>
  </si>
  <si>
    <t>Nail machine 6</t>
  </si>
  <si>
    <t>Nail machine 7</t>
  </si>
  <si>
    <t>Nail machine 8</t>
  </si>
  <si>
    <t>Nail machine 9</t>
  </si>
  <si>
    <t>Nail machine 10</t>
  </si>
  <si>
    <t>Nail machine 11</t>
  </si>
  <si>
    <t>Nail machine 12</t>
  </si>
  <si>
    <t>Nail machine 13</t>
  </si>
  <si>
    <t>Nail machine 14</t>
  </si>
  <si>
    <t>Nail machine 15</t>
  </si>
  <si>
    <t>Nail machine 16</t>
  </si>
  <si>
    <t>Nail machine 17</t>
  </si>
  <si>
    <t>Nail machine 18</t>
  </si>
  <si>
    <t>Nail machine 19</t>
  </si>
  <si>
    <t>Nail machine 20</t>
  </si>
  <si>
    <t>Nail machine 21</t>
  </si>
  <si>
    <t>Nail machine 22</t>
  </si>
  <si>
    <t>Nail machine 23</t>
  </si>
  <si>
    <t>Nail machine 24</t>
  </si>
  <si>
    <t>Nail machine 25</t>
  </si>
  <si>
    <t>Rod machine 1</t>
  </si>
  <si>
    <t>Rod machine 2</t>
  </si>
  <si>
    <t>Rod machine 3</t>
  </si>
  <si>
    <t>Rod machine 4</t>
  </si>
  <si>
    <t>Rod machine 5</t>
  </si>
  <si>
    <t>Rod machine 6</t>
  </si>
  <si>
    <t>Rod machine 7</t>
  </si>
  <si>
    <t>Rod machine 8</t>
  </si>
  <si>
    <t>Machine Production (ton)</t>
  </si>
  <si>
    <t>Reason</t>
  </si>
  <si>
    <t>Downtime (hrs)</t>
  </si>
  <si>
    <t>Wire Shortage</t>
  </si>
  <si>
    <t>Cutter Grinding Work</t>
  </si>
  <si>
    <t>Machine Breakdown</t>
  </si>
  <si>
    <t>Belt Repair</t>
  </si>
  <si>
    <t>Casting Request</t>
  </si>
  <si>
    <t>Cutter Change</t>
  </si>
  <si>
    <t>Die Box Damage</t>
  </si>
  <si>
    <t>Finger Adjustment</t>
  </si>
  <si>
    <t>Header Repair</t>
  </si>
  <si>
    <t>Lath Work</t>
  </si>
  <si>
    <t>Motor Repair</t>
  </si>
  <si>
    <t>Side Arm Repair</t>
  </si>
  <si>
    <t>Worker Shortage</t>
  </si>
  <si>
    <t>Wire shortage</t>
  </si>
  <si>
    <t>Cutter grinding work</t>
  </si>
  <si>
    <t xml:space="preserve">Machine breakdown </t>
  </si>
  <si>
    <t>Cutter repair</t>
  </si>
  <si>
    <t>Lathe work</t>
  </si>
  <si>
    <t>Belt Adustment</t>
  </si>
  <si>
    <t>Casting Damge</t>
  </si>
  <si>
    <t>Casting Plant Bolt Request</t>
  </si>
  <si>
    <t>Cutter arm repair</t>
  </si>
  <si>
    <t xml:space="preserve"> Finding finger request</t>
  </si>
  <si>
    <t>Gear wheel repair</t>
  </si>
  <si>
    <t>Machine wheel repair</t>
  </si>
  <si>
    <t>Nail Header Repair</t>
  </si>
  <si>
    <t>Nail lathe repair</t>
  </si>
  <si>
    <t>New cutter request</t>
  </si>
  <si>
    <t>Side arm repair</t>
  </si>
  <si>
    <t>Bolt lathe work</t>
  </si>
  <si>
    <t>Browns repair</t>
  </si>
  <si>
    <t>Cutter Reapir</t>
  </si>
  <si>
    <t>Die adjustment</t>
  </si>
  <si>
    <t>File request</t>
  </si>
  <si>
    <t>Fly wheel repair</t>
  </si>
  <si>
    <t>Motor repair</t>
  </si>
  <si>
    <t>Worker shortage</t>
  </si>
  <si>
    <t>Browns plant repair</t>
  </si>
  <si>
    <t>Bush nut repair</t>
  </si>
  <si>
    <t>Bolt damage</t>
  </si>
  <si>
    <t>Bolt repair</t>
  </si>
  <si>
    <t>Bush nut set lathe work</t>
  </si>
  <si>
    <t>Cutter Damge</t>
  </si>
  <si>
    <t>Header pin damage</t>
  </si>
  <si>
    <t>White Tool Kit Repair</t>
  </si>
  <si>
    <t>Wire drawing machine 01</t>
  </si>
  <si>
    <t>Wire drawing machine 02</t>
  </si>
  <si>
    <t>Wire drawing machine 03</t>
  </si>
  <si>
    <t>Wire drawing machine 04</t>
  </si>
  <si>
    <t>2x12</t>
  </si>
  <si>
    <t>Belt replace</t>
  </si>
  <si>
    <t>Bold work</t>
  </si>
  <si>
    <t>Die box repair</t>
  </si>
  <si>
    <t>Nail point damage</t>
  </si>
  <si>
    <t>Over stock</t>
  </si>
  <si>
    <t>Plant repair work</t>
  </si>
  <si>
    <t>Welding repair</t>
  </si>
  <si>
    <t>Other 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</si>
</sst>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m\-yy;@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Fill="1" applyBorder="1"/>
    <xf numFmtId="0" fontId="1" fillId="0" borderId="0" xfId="0" applyFont="1" applyFill="1" applyBorder="1"/>
    <xf numFmtId="0" fontId="2" fillId="0" borderId="0" xfId="0" applyFont="1" applyFill="1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NumberFormat="1" applyBorder="1"/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164" fontId="0" fillId="0" borderId="0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Fill="1"/>
    <xf numFmtId="165" fontId="0" fillId="0" borderId="0" xfId="0" applyNumberFormat="1"/>
    <xf numFmtId="164" fontId="0" fillId="0" borderId="0" xfId="0" applyNumberFormat="1"/>
    <xf numFmtId="0" fontId="1" fillId="0" borderId="0" xfId="0" applyNumberFormat="1" applyFont="1" applyFill="1"/>
    <xf numFmtId="0" fontId="0" fillId="0" borderId="0" xfId="0" applyFont="1" applyFill="1" applyBorder="1"/>
    <xf numFmtId="164" fontId="3" fillId="0" borderId="0" xfId="0" applyNumberFormat="1" applyFont="1" applyAlignment="1">
      <alignment horizontal="left"/>
    </xf>
    <xf numFmtId="1" fontId="0" fillId="0" borderId="0" xfId="0" applyNumberFormat="1" applyBorder="1"/>
    <xf numFmtId="1" fontId="0" fillId="0" borderId="1" xfId="0" applyNumberFormat="1" applyBorder="1"/>
    <xf numFmtId="1" fontId="0" fillId="0" borderId="0" xfId="0" applyNumberFormat="1"/>
    <xf numFmtId="166" fontId="0" fillId="0" borderId="0" xfId="0" applyNumberFormat="1" applyFill="1"/>
    <xf numFmtId="166" fontId="0" fillId="0" borderId="1" xfId="0" applyNumberFormat="1" applyFill="1" applyBorder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27">
    <dxf>
      <alignment horizontal="left" vertical="bottom" textRotation="0" wrapText="0" indent="0" justifyLastLine="0" shrinkToFit="0" readingOrder="0"/>
    </dxf>
    <dxf>
      <numFmt numFmtId="164" formatCode="[$-409]m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mmmm\-yy;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5" formatCode="0.0"/>
      <alignment horizontal="left" vertical="bottom" textRotation="0" wrapText="0" indent="0" justifyLastLine="0" shrinkToFit="0" readingOrder="0"/>
    </dxf>
    <dxf>
      <numFmt numFmtId="164" formatCode="[$-409]mmmm\-yy;@"/>
      <alignment horizontal="left" vertical="bottom" textRotation="0" wrapText="0" indent="0" justifyLastLine="0" shrinkToFit="0" readingOrder="0"/>
    </dxf>
    <dxf>
      <numFmt numFmtId="164" formatCode="[$-409]mmmm\-yy;@"/>
      <alignment horizontal="left" vertical="bottom" textRotation="0" wrapText="0" indent="0" justifyLastLine="0" shrinkToFit="0" readingOrder="0"/>
    </dxf>
    <dxf>
      <numFmt numFmtId="164" formatCode="[$-409]m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00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E47E5E"/>
      <color rgb="FFFF0000"/>
      <color rgb="FF785FE3"/>
      <color rgb="FF9D50F2"/>
      <color rgb="FFDBB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Data_Entry" displayName="Data_Entry" ref="A1:M147" totalsRowShown="0" headerRowDxfId="26">
  <autoFilter ref="A1:M147"/>
  <tableColumns count="13">
    <tableColumn id="1" name="Date" dataDxfId="25"/>
    <tableColumn id="14" name="Month_Year" dataDxfId="24">
      <calculatedColumnFormula>TEXT(Data_Entry[[#This Row],[Date]],"mmmm  yyyy")</calculatedColumnFormula>
    </tableColumn>
    <tableColumn id="2" name="Raw material (Ton)" dataDxfId="23"/>
    <tableColumn id="3" name="Wire Drawing (Ton)" dataDxfId="22"/>
    <tableColumn id="4" name="Nail production(Ton)" dataDxfId="21"/>
    <tableColumn id="15" name="Rod Production (Ton)" dataDxfId="20"/>
    <tableColumn id="13" name="Iron Dust (Ton)" dataDxfId="19"/>
    <tableColumn id="5" name="Waste(Ton)" dataDxfId="18"/>
    <tableColumn id="6" name="Total Rejection (Ton)" dataDxfId="17"/>
    <tableColumn id="7" name="Packaging(25kg bags)" dataDxfId="16"/>
    <tableColumn id="8" name="Packaging (Ton)" dataDxfId="15"/>
    <tableColumn id="9" name="Machine shift time (hours)" dataDxfId="14"/>
    <tableColumn id="10" name="Total downtime (hours)" dataDxfId="1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3" name="Data_Entry4" displayName="Data_Entry4" ref="A1:C82" totalsRowShown="0" headerRowDxfId="12" dataDxfId="11">
  <autoFilter ref="A1:C82"/>
  <tableColumns count="3">
    <tableColumn id="1" name="Date" dataDxfId="10"/>
    <tableColumn id="2" name="Reason" dataDxfId="9"/>
    <tableColumn id="3" name="Downtime (hrs)" dataDxfId="8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4" name="Data_Entry45" displayName="Data_Entry45" ref="A1:E54" totalsRowShown="0" headerRowDxfId="7">
  <autoFilter ref="A1:E54"/>
  <tableColumns count="5">
    <tableColumn id="1" name="Date" dataDxfId="6"/>
    <tableColumn id="11" name="Nail Catogery " dataDxfId="5"/>
    <tableColumn id="12" name="Nail_Production " dataDxfId="4"/>
    <tableColumn id="17" name="Rod Catogery " dataDxfId="3"/>
    <tableColumn id="18" name="Rod_Production" dataDxfId="2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6" name="Table57" displayName="Table57" ref="A1:C222" totalsRowShown="0">
  <autoFilter ref="A1:C222"/>
  <tableColumns count="3">
    <tableColumn id="1" name="Date" dataDxfId="1"/>
    <tableColumn id="2" name="Machine" dataDxfId="0"/>
    <tableColumn id="3" name="Machine Production (t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M147"/>
  <sheetViews>
    <sheetView showGridLines="0" topLeftCell="A115" workbookViewId="0">
      <pane xSplit="1" topLeftCell="E1" activePane="topRight" state="frozen"/>
      <selection pane="topRight" activeCell="F146" sqref="F146"/>
    </sheetView>
  </sheetViews>
  <sheetFormatPr defaultRowHeight="15" x14ac:dyDescent="0.25"/>
  <cols>
    <col min="1" max="2" width="16.5703125" customWidth="1"/>
    <col min="3" max="3" width="25.7109375" customWidth="1"/>
    <col min="4" max="4" width="17" customWidth="1"/>
    <col min="5" max="7" width="27" customWidth="1"/>
    <col min="8" max="8" width="18.5703125" customWidth="1"/>
    <col min="9" max="9" width="22" customWidth="1"/>
    <col min="10" max="10" width="28.28515625" customWidth="1"/>
    <col min="11" max="11" width="22.28515625" customWidth="1"/>
    <col min="12" max="12" width="14.42578125" customWidth="1"/>
    <col min="13" max="13" width="16.7109375" customWidth="1"/>
  </cols>
  <sheetData>
    <row r="1" spans="1:13" x14ac:dyDescent="0.25">
      <c r="A1" s="3" t="s">
        <v>0</v>
      </c>
      <c r="B1" s="3" t="s">
        <v>6</v>
      </c>
      <c r="C1" s="4" t="s">
        <v>8</v>
      </c>
      <c r="D1" s="3" t="s">
        <v>1</v>
      </c>
      <c r="E1" s="4" t="s">
        <v>9</v>
      </c>
      <c r="F1" s="4" t="s">
        <v>16</v>
      </c>
      <c r="G1" s="4" t="s">
        <v>10</v>
      </c>
      <c r="H1" s="4" t="s">
        <v>11</v>
      </c>
      <c r="I1" s="4" t="s">
        <v>37</v>
      </c>
      <c r="J1" s="4" t="s">
        <v>12</v>
      </c>
      <c r="K1" s="4" t="s">
        <v>13</v>
      </c>
      <c r="L1" s="4" t="s">
        <v>14</v>
      </c>
      <c r="M1" s="4" t="s">
        <v>15</v>
      </c>
    </row>
    <row r="2" spans="1:13" x14ac:dyDescent="0.25">
      <c r="A2" s="9">
        <v>46114</v>
      </c>
      <c r="B2" s="9" t="str">
        <f>TEXT(Data_Entry[[#This Row],[Date]],"mmmm  yyyy")</f>
        <v>April  2026</v>
      </c>
      <c r="C2" s="7">
        <v>9.5220000000000002</v>
      </c>
      <c r="D2" s="7">
        <v>7.5460000000000003</v>
      </c>
      <c r="E2" s="7">
        <v>8.0210000000000008</v>
      </c>
      <c r="F2" s="8">
        <v>1.8720000000000001</v>
      </c>
      <c r="G2" s="8">
        <v>0.08</v>
      </c>
      <c r="H2" s="8">
        <v>3.2000000000000001E-2</v>
      </c>
      <c r="I2" s="8">
        <v>0.112</v>
      </c>
      <c r="J2" s="7">
        <v>273</v>
      </c>
      <c r="K2" s="7">
        <v>6.8250000000000002</v>
      </c>
      <c r="L2" s="8">
        <v>200</v>
      </c>
      <c r="M2" s="24">
        <v>24</v>
      </c>
    </row>
    <row r="3" spans="1:13" x14ac:dyDescent="0.25">
      <c r="A3" s="9">
        <v>46115</v>
      </c>
      <c r="B3" s="9" t="str">
        <f>TEXT(Data_Entry[[#This Row],[Date]],"mmmm  yyyy")</f>
        <v>April  2026</v>
      </c>
      <c r="C3" s="7">
        <v>4.6550000000000002</v>
      </c>
      <c r="D3" s="7">
        <v>4.6310000000000002</v>
      </c>
      <c r="E3" s="7">
        <v>8.1</v>
      </c>
      <c r="F3" s="8">
        <v>0</v>
      </c>
      <c r="G3" s="8">
        <v>0.04</v>
      </c>
      <c r="H3" s="8">
        <v>1.6E-2</v>
      </c>
      <c r="I3" s="8">
        <v>5.6000000000000001E-2</v>
      </c>
      <c r="J3" s="7">
        <v>276</v>
      </c>
      <c r="K3" s="7">
        <v>6.9</v>
      </c>
      <c r="L3" s="8">
        <v>200</v>
      </c>
      <c r="M3" s="24">
        <v>32</v>
      </c>
    </row>
    <row r="4" spans="1:13" x14ac:dyDescent="0.25">
      <c r="A4" s="9">
        <v>46116</v>
      </c>
      <c r="B4" s="9" t="str">
        <f>TEXT(Data_Entry[[#This Row],[Date]],"mmmm  yyyy")</f>
        <v>April  2026</v>
      </c>
      <c r="C4" s="7">
        <v>6.5090000000000003</v>
      </c>
      <c r="D4" s="7">
        <v>5.34</v>
      </c>
      <c r="E4" s="7">
        <v>5.1059999999999999</v>
      </c>
      <c r="F4" s="8">
        <v>1.17</v>
      </c>
      <c r="G4" s="8">
        <v>0.04</v>
      </c>
      <c r="H4" s="8">
        <v>1.6E-2</v>
      </c>
      <c r="I4" s="8">
        <v>5.6000000000000001E-2</v>
      </c>
      <c r="J4" s="7">
        <v>173</v>
      </c>
      <c r="K4" s="7">
        <v>4.3250000000000002</v>
      </c>
      <c r="L4" s="8">
        <v>131.25</v>
      </c>
      <c r="M4" s="24">
        <v>21</v>
      </c>
    </row>
    <row r="5" spans="1:13" x14ac:dyDescent="0.25">
      <c r="A5" s="9">
        <v>46118</v>
      </c>
      <c r="B5" s="9" t="str">
        <f>TEXT(Data_Entry[[#This Row],[Date]],"mmmm  yyyy")</f>
        <v>April  2026</v>
      </c>
      <c r="C5" s="7">
        <v>11.316000000000001</v>
      </c>
      <c r="D5" s="7">
        <v>7.6</v>
      </c>
      <c r="E5" s="7">
        <v>5.9790000000000001</v>
      </c>
      <c r="F5" s="8">
        <v>3.3119999999999998</v>
      </c>
      <c r="G5" s="8">
        <v>0.08</v>
      </c>
      <c r="H5" s="8">
        <v>3.2000000000000001E-2</v>
      </c>
      <c r="I5" s="8">
        <v>0.112</v>
      </c>
      <c r="J5" s="7">
        <v>268</v>
      </c>
      <c r="K5" s="7">
        <v>6.7</v>
      </c>
      <c r="L5" s="8">
        <v>200</v>
      </c>
      <c r="M5" s="24">
        <v>96</v>
      </c>
    </row>
    <row r="6" spans="1:13" x14ac:dyDescent="0.25">
      <c r="A6" s="9">
        <v>46119</v>
      </c>
      <c r="B6" s="9" t="str">
        <f>TEXT(Data_Entry[[#This Row],[Date]],"mmmm  yyyy")</f>
        <v>April  2026</v>
      </c>
      <c r="C6" s="7">
        <v>9.6029999999999998</v>
      </c>
      <c r="D6" s="7">
        <v>6.1909999999999998</v>
      </c>
      <c r="E6" s="7">
        <v>5.8559999999999999</v>
      </c>
      <c r="F6" s="8">
        <v>3.51</v>
      </c>
      <c r="G6" s="8">
        <v>0.06</v>
      </c>
      <c r="H6" s="8">
        <v>2.5000000000000001E-2</v>
      </c>
      <c r="I6" s="8">
        <v>8.5000000000000006E-2</v>
      </c>
      <c r="J6" s="7">
        <v>240</v>
      </c>
      <c r="K6" s="7">
        <v>6</v>
      </c>
      <c r="L6" s="8">
        <v>200</v>
      </c>
      <c r="M6" s="24">
        <v>112</v>
      </c>
    </row>
    <row r="7" spans="1:13" x14ac:dyDescent="0.25">
      <c r="A7" s="9">
        <v>46120</v>
      </c>
      <c r="B7" s="9" t="str">
        <f>TEXT(Data_Entry[[#This Row],[Date]],"mmmm  yyyy")</f>
        <v>April  2026</v>
      </c>
      <c r="C7" s="7">
        <v>9.6530000000000005</v>
      </c>
      <c r="D7" s="7">
        <v>5.9109999999999996</v>
      </c>
      <c r="E7" s="7">
        <v>5.6390000000000002</v>
      </c>
      <c r="F7" s="8">
        <v>3.5219999999999998</v>
      </c>
      <c r="G7" s="8">
        <v>0.04</v>
      </c>
      <c r="H7" s="8">
        <v>1.6E-2</v>
      </c>
      <c r="I7" s="8">
        <v>5.6000000000000001E-2</v>
      </c>
      <c r="J7" s="7">
        <v>229</v>
      </c>
      <c r="K7" s="7">
        <v>5.7249999999999996</v>
      </c>
      <c r="L7" s="8">
        <v>200</v>
      </c>
      <c r="M7" s="24">
        <v>104</v>
      </c>
    </row>
    <row r="8" spans="1:13" x14ac:dyDescent="0.25">
      <c r="A8" s="9">
        <v>46121</v>
      </c>
      <c r="B8" s="9" t="str">
        <f>TEXT(Data_Entry[[#This Row],[Date]],"mmmm  yyyy")</f>
        <v>April  2026</v>
      </c>
      <c r="C8" s="7">
        <v>8.7739999999999991</v>
      </c>
      <c r="D8" s="7">
        <v>6.91</v>
      </c>
      <c r="E8" s="7">
        <v>5.101</v>
      </c>
      <c r="F8" s="8">
        <v>1.8160000000000001</v>
      </c>
      <c r="G8" s="8">
        <v>0.08</v>
      </c>
      <c r="H8" s="8">
        <v>3.2000000000000001E-2</v>
      </c>
      <c r="I8" s="8">
        <v>0.112</v>
      </c>
      <c r="J8" s="7">
        <v>247</v>
      </c>
      <c r="K8" s="7">
        <v>6.1749999999999998</v>
      </c>
      <c r="L8" s="8">
        <v>200</v>
      </c>
      <c r="M8" s="24">
        <v>88</v>
      </c>
    </row>
    <row r="9" spans="1:13" x14ac:dyDescent="0.25">
      <c r="A9" s="9">
        <v>46122</v>
      </c>
      <c r="B9" s="9" t="str">
        <f>TEXT(Data_Entry[[#This Row],[Date]],"mmmm  yyyy")</f>
        <v>April  2026</v>
      </c>
      <c r="C9" s="7">
        <v>7.1760000000000002</v>
      </c>
      <c r="D9" s="7">
        <v>6.6829999999999998</v>
      </c>
      <c r="E9" s="7">
        <v>4.5389999999999997</v>
      </c>
      <c r="F9" s="8">
        <v>0.52700000000000002</v>
      </c>
      <c r="G9" s="8">
        <v>0.06</v>
      </c>
      <c r="H9" s="8">
        <v>2.4E-2</v>
      </c>
      <c r="I9" s="8">
        <v>8.4000000000000005E-2</v>
      </c>
      <c r="J9" s="7">
        <v>263</v>
      </c>
      <c r="K9" s="7">
        <v>6.5750000000000002</v>
      </c>
      <c r="L9" s="8">
        <v>200</v>
      </c>
      <c r="M9" s="24">
        <v>72</v>
      </c>
    </row>
    <row r="10" spans="1:13" x14ac:dyDescent="0.25">
      <c r="A10" s="9">
        <v>46123</v>
      </c>
      <c r="B10" s="9" t="str">
        <f>TEXT(Data_Entry[[#This Row],[Date]],"mmmm  yyyy")</f>
        <v>April  2026</v>
      </c>
      <c r="C10" s="7">
        <v>2.2429999999999999</v>
      </c>
      <c r="D10" s="7">
        <v>2.1869999999999998</v>
      </c>
      <c r="E10" s="7">
        <v>3.0859999999999999</v>
      </c>
      <c r="F10" s="8">
        <v>0</v>
      </c>
      <c r="G10" s="8">
        <v>0.04</v>
      </c>
      <c r="H10" s="8">
        <v>1.6E-2</v>
      </c>
      <c r="I10" s="8">
        <v>5.6000000000000001E-2</v>
      </c>
      <c r="J10" s="7">
        <v>160</v>
      </c>
      <c r="K10" s="7">
        <v>4</v>
      </c>
      <c r="L10" s="8">
        <v>131.25</v>
      </c>
      <c r="M10" s="24">
        <v>47.25</v>
      </c>
    </row>
    <row r="11" spans="1:13" x14ac:dyDescent="0.25">
      <c r="A11" s="9">
        <v>46128</v>
      </c>
      <c r="B11" s="9" t="str">
        <f>TEXT(Data_Entry[[#This Row],[Date]],"mmmm  yyyy")</f>
        <v>April  2026</v>
      </c>
      <c r="C11" s="7">
        <v>3.2360000000000002</v>
      </c>
      <c r="D11" s="7">
        <v>0</v>
      </c>
      <c r="E11" s="7">
        <v>0</v>
      </c>
      <c r="F11" s="8">
        <v>3.452</v>
      </c>
      <c r="G11" s="8">
        <v>0</v>
      </c>
      <c r="H11" s="8">
        <v>0</v>
      </c>
      <c r="I11" s="8">
        <v>0</v>
      </c>
      <c r="J11" s="7"/>
      <c r="K11" s="7">
        <v>0</v>
      </c>
      <c r="L11" s="8">
        <v>0</v>
      </c>
      <c r="M11" s="24">
        <v>0</v>
      </c>
    </row>
    <row r="12" spans="1:13" x14ac:dyDescent="0.25">
      <c r="A12" s="9">
        <v>46129</v>
      </c>
      <c r="B12" s="9" t="str">
        <f>TEXT(Data_Entry[[#This Row],[Date]],"mmmm  yyyy")</f>
        <v>April  2026</v>
      </c>
      <c r="C12" s="7">
        <v>4.03</v>
      </c>
      <c r="D12" s="7">
        <v>2.0699999999999998</v>
      </c>
      <c r="E12" s="7">
        <v>0</v>
      </c>
      <c r="F12" s="8">
        <v>1.7649999999999999</v>
      </c>
      <c r="G12" s="8">
        <v>0.02</v>
      </c>
      <c r="H12" s="8">
        <v>8.0000000000000002E-3</v>
      </c>
      <c r="I12" s="8">
        <v>2.8000000000000001E-2</v>
      </c>
      <c r="J12" s="7"/>
      <c r="K12" s="7">
        <v>0</v>
      </c>
      <c r="L12" s="8">
        <v>0</v>
      </c>
      <c r="M12" s="24">
        <v>0</v>
      </c>
    </row>
    <row r="13" spans="1:13" x14ac:dyDescent="0.25">
      <c r="A13" s="9">
        <v>46130</v>
      </c>
      <c r="B13" s="9" t="str">
        <f>TEXT(Data_Entry[[#This Row],[Date]],"mmmm  yyyy")</f>
        <v>April  2026</v>
      </c>
      <c r="C13" s="7">
        <v>5.0430000000000001</v>
      </c>
      <c r="D13" s="7">
        <v>2.0739999999999998</v>
      </c>
      <c r="E13" s="7">
        <v>0</v>
      </c>
      <c r="F13" s="8">
        <v>3.0510000000000002</v>
      </c>
      <c r="G13" s="8">
        <v>0.02</v>
      </c>
      <c r="H13" s="8">
        <v>8.9999999999999993E-3</v>
      </c>
      <c r="I13" s="8">
        <v>2.9000000000000001E-2</v>
      </c>
      <c r="J13" s="7"/>
      <c r="K13" s="7">
        <v>0</v>
      </c>
      <c r="L13" s="8">
        <v>0</v>
      </c>
      <c r="M13" s="24">
        <v>0</v>
      </c>
    </row>
    <row r="14" spans="1:13" x14ac:dyDescent="0.25">
      <c r="A14" s="9">
        <v>46132</v>
      </c>
      <c r="B14" s="9" t="str">
        <f>TEXT(Data_Entry[[#This Row],[Date]],"mmmm  yyyy")</f>
        <v>April  2026</v>
      </c>
      <c r="C14" s="7">
        <v>5.194</v>
      </c>
      <c r="D14" s="7">
        <v>1.71</v>
      </c>
      <c r="E14" s="7">
        <v>0</v>
      </c>
      <c r="F14" s="8">
        <v>3.7709999999999999</v>
      </c>
      <c r="G14" s="8">
        <v>0</v>
      </c>
      <c r="H14" s="8">
        <v>0</v>
      </c>
      <c r="I14" s="8">
        <v>0</v>
      </c>
      <c r="J14" s="7">
        <v>78</v>
      </c>
      <c r="K14" s="7">
        <v>1.95</v>
      </c>
      <c r="L14" s="8">
        <v>0</v>
      </c>
      <c r="M14" s="24">
        <v>0</v>
      </c>
    </row>
    <row r="15" spans="1:13" x14ac:dyDescent="0.25">
      <c r="A15" s="9">
        <v>46133</v>
      </c>
      <c r="B15" s="9" t="str">
        <f>TEXT(Data_Entry[[#This Row],[Date]],"mmmm  yyyy")</f>
        <v>April  2026</v>
      </c>
      <c r="C15" s="7">
        <v>8.3439999999999994</v>
      </c>
      <c r="D15" s="7">
        <v>5.6950000000000003</v>
      </c>
      <c r="E15" s="7">
        <v>3.359</v>
      </c>
      <c r="F15" s="8">
        <v>2.379</v>
      </c>
      <c r="G15" s="8">
        <v>0.06</v>
      </c>
      <c r="H15" s="8">
        <v>2.4E-2</v>
      </c>
      <c r="I15" s="8">
        <v>8.4000000000000005E-2</v>
      </c>
      <c r="J15" s="7"/>
      <c r="K15" s="7">
        <v>0</v>
      </c>
      <c r="L15" s="8">
        <v>200</v>
      </c>
      <c r="M15" s="24">
        <v>128</v>
      </c>
    </row>
    <row r="16" spans="1:13" x14ac:dyDescent="0.25">
      <c r="A16" s="9">
        <v>46134</v>
      </c>
      <c r="B16" s="9" t="str">
        <f>TEXT(Data_Entry[[#This Row],[Date]],"mmmm  yyyy")</f>
        <v>April  2026</v>
      </c>
      <c r="C16" s="7">
        <v>8.25</v>
      </c>
      <c r="D16" s="7">
        <v>5.6639999999999997</v>
      </c>
      <c r="E16" s="7">
        <v>5.3120000000000003</v>
      </c>
      <c r="F16" s="8">
        <v>2.3439999999999999</v>
      </c>
      <c r="G16" s="8">
        <v>0.04</v>
      </c>
      <c r="H16" s="8">
        <v>1.7999999999999999E-2</v>
      </c>
      <c r="I16" s="8">
        <v>5.8000000000000003E-2</v>
      </c>
      <c r="J16" s="7">
        <v>204</v>
      </c>
      <c r="K16" s="7">
        <v>5.0999999999999996</v>
      </c>
      <c r="L16" s="8">
        <v>200</v>
      </c>
      <c r="M16" s="24">
        <v>104</v>
      </c>
    </row>
    <row r="17" spans="1:13" x14ac:dyDescent="0.25">
      <c r="A17" s="9">
        <v>46135</v>
      </c>
      <c r="B17" s="9" t="str">
        <f>TEXT(Data_Entry[[#This Row],[Date]],"mmmm  yyyy")</f>
        <v>April  2026</v>
      </c>
      <c r="C17" s="7">
        <v>9.1379999999999999</v>
      </c>
      <c r="D17" s="7">
        <v>6.67</v>
      </c>
      <c r="E17" s="7">
        <v>5.1130000000000004</v>
      </c>
      <c r="F17" s="8">
        <v>2.431</v>
      </c>
      <c r="G17" s="8">
        <v>0.06</v>
      </c>
      <c r="H17" s="8">
        <v>3.1E-2</v>
      </c>
      <c r="I17" s="8">
        <v>9.0999999999999998E-2</v>
      </c>
      <c r="J17" s="7">
        <v>175</v>
      </c>
      <c r="K17" s="7">
        <v>4.375</v>
      </c>
      <c r="L17" s="8">
        <v>200</v>
      </c>
      <c r="M17" s="24">
        <v>112</v>
      </c>
    </row>
    <row r="18" spans="1:13" x14ac:dyDescent="0.25">
      <c r="A18" s="9">
        <v>46136</v>
      </c>
      <c r="B18" s="9" t="str">
        <f>TEXT(Data_Entry[[#This Row],[Date]],"mmmm  yyyy")</f>
        <v>April  2026</v>
      </c>
      <c r="C18" s="7">
        <v>7.3920000000000003</v>
      </c>
      <c r="D18" s="7">
        <v>6.1150000000000002</v>
      </c>
      <c r="E18" s="7">
        <v>5.5220000000000002</v>
      </c>
      <c r="F18" s="8">
        <v>1.581</v>
      </c>
      <c r="G18" s="8">
        <v>0.06</v>
      </c>
      <c r="H18" s="8">
        <v>2.5999999999999999E-2</v>
      </c>
      <c r="I18" s="8">
        <v>8.5999999999999993E-2</v>
      </c>
      <c r="J18" s="7">
        <v>261</v>
      </c>
      <c r="K18" s="7">
        <v>6.5250000000000004</v>
      </c>
      <c r="L18" s="8">
        <v>200</v>
      </c>
      <c r="M18" s="24">
        <v>112</v>
      </c>
    </row>
    <row r="19" spans="1:13" x14ac:dyDescent="0.25">
      <c r="A19" s="9">
        <v>46137</v>
      </c>
      <c r="B19" s="9" t="str">
        <f>TEXT(Data_Entry[[#This Row],[Date]],"mmmm  yyyy")</f>
        <v>April  2026</v>
      </c>
      <c r="C19" s="7">
        <v>5.8979999999999997</v>
      </c>
      <c r="D19" s="7">
        <v>4.2009999999999996</v>
      </c>
      <c r="E19" s="7">
        <v>2.6040000000000001</v>
      </c>
      <c r="F19" s="8">
        <v>1.921</v>
      </c>
      <c r="G19" s="8">
        <v>0.04</v>
      </c>
      <c r="H19" s="8">
        <v>1.6E-2</v>
      </c>
      <c r="I19" s="8">
        <v>5.6000000000000001E-2</v>
      </c>
      <c r="J19" s="7">
        <v>132</v>
      </c>
      <c r="K19" s="7">
        <v>3.3</v>
      </c>
      <c r="L19" s="8">
        <v>131.25</v>
      </c>
      <c r="M19" s="24">
        <v>78.75</v>
      </c>
    </row>
    <row r="20" spans="1:13" x14ac:dyDescent="0.25">
      <c r="A20" s="9">
        <v>46139</v>
      </c>
      <c r="B20" s="9" t="str">
        <f>TEXT(Data_Entry[[#This Row],[Date]],"mmmm  yyyy")</f>
        <v>April  2026</v>
      </c>
      <c r="C20" s="7">
        <v>11.848000000000001</v>
      </c>
      <c r="D20" s="7">
        <v>6.1429999999999998</v>
      </c>
      <c r="E20" s="7">
        <v>4.9980000000000002</v>
      </c>
      <c r="F20" s="8">
        <v>5.3120000000000003</v>
      </c>
      <c r="G20" s="8">
        <v>0.08</v>
      </c>
      <c r="H20" s="8">
        <v>3.6999999999999998E-2</v>
      </c>
      <c r="I20" s="8">
        <v>0.11700000000000001</v>
      </c>
      <c r="J20" s="7">
        <v>196</v>
      </c>
      <c r="K20" s="7">
        <v>4.9000000000000004</v>
      </c>
      <c r="L20" s="8">
        <v>200</v>
      </c>
      <c r="M20" s="24">
        <v>96</v>
      </c>
    </row>
    <row r="21" spans="1:13" x14ac:dyDescent="0.25">
      <c r="A21" s="9">
        <v>46140</v>
      </c>
      <c r="B21" s="9" t="str">
        <f>TEXT(Data_Entry[[#This Row],[Date]],"mmmm  yyyy")</f>
        <v>April  2026</v>
      </c>
      <c r="C21" s="7">
        <v>15.311999999999999</v>
      </c>
      <c r="D21" s="7">
        <v>6.5030000000000001</v>
      </c>
      <c r="E21" s="7">
        <v>6.0609999999999999</v>
      </c>
      <c r="F21" s="8">
        <v>8.4600000000000009</v>
      </c>
      <c r="G21" s="8">
        <v>0.08</v>
      </c>
      <c r="H21" s="8">
        <v>3.5000000000000003E-2</v>
      </c>
      <c r="I21" s="8">
        <v>0.115</v>
      </c>
      <c r="J21" s="7">
        <v>194</v>
      </c>
      <c r="K21" s="7">
        <v>4.8499999999999996</v>
      </c>
      <c r="L21" s="8">
        <v>200</v>
      </c>
      <c r="M21" s="24">
        <v>80.833333333333329</v>
      </c>
    </row>
    <row r="22" spans="1:13" x14ac:dyDescent="0.25">
      <c r="A22" s="9">
        <v>46141</v>
      </c>
      <c r="B22" s="9" t="str">
        <f>TEXT(Data_Entry[[#This Row],[Date]],"mmmm  yyyy")</f>
        <v>April  2026</v>
      </c>
      <c r="C22" s="7">
        <v>10.388999999999999</v>
      </c>
      <c r="D22" s="7">
        <v>6.0220000000000002</v>
      </c>
      <c r="E22" s="7">
        <v>4.9770000000000003</v>
      </c>
      <c r="F22" s="8">
        <v>4.2439999999999998</v>
      </c>
      <c r="G22" s="8">
        <v>0.06</v>
      </c>
      <c r="H22" s="8">
        <v>2.9000000000000001E-2</v>
      </c>
      <c r="I22" s="8">
        <v>8.8999999999999996E-2</v>
      </c>
      <c r="J22" s="7">
        <v>228</v>
      </c>
      <c r="K22" s="7">
        <v>5.7</v>
      </c>
      <c r="L22" s="8">
        <v>200</v>
      </c>
      <c r="M22" s="24">
        <v>97.25</v>
      </c>
    </row>
    <row r="23" spans="1:13" x14ac:dyDescent="0.25">
      <c r="A23" s="11">
        <v>46142</v>
      </c>
      <c r="B23" s="11" t="str">
        <f>TEXT(Data_Entry[[#This Row],[Date]],"mmmm  yyyy")</f>
        <v>April  2026</v>
      </c>
      <c r="C23" s="12">
        <v>11.041</v>
      </c>
      <c r="D23" s="12">
        <v>5.258</v>
      </c>
      <c r="E23" s="12">
        <v>4.4820000000000002</v>
      </c>
      <c r="F23" s="13">
        <v>5.9790000000000001</v>
      </c>
      <c r="G23" s="13">
        <v>0.08</v>
      </c>
      <c r="H23" s="13">
        <v>4.3999999999999997E-2</v>
      </c>
      <c r="I23" s="13">
        <v>0.124</v>
      </c>
      <c r="J23" s="12">
        <v>167</v>
      </c>
      <c r="K23" s="12">
        <v>4.1749999999999998</v>
      </c>
      <c r="L23" s="13">
        <v>200</v>
      </c>
      <c r="M23" s="25">
        <v>96</v>
      </c>
    </row>
    <row r="24" spans="1:13" x14ac:dyDescent="0.25">
      <c r="A24" s="1">
        <v>46144</v>
      </c>
      <c r="B24" s="1" t="str">
        <f>TEXT(Data_Entry[[#This Row],[Date]],"mmmm  yyyy")</f>
        <v>May  2026</v>
      </c>
      <c r="C24" s="2">
        <v>7.335</v>
      </c>
      <c r="D24" s="2">
        <v>4.1689999999999996</v>
      </c>
      <c r="E24" s="2">
        <v>2.7730000000000001</v>
      </c>
      <c r="F24" s="2">
        <v>2.6779999999999999</v>
      </c>
      <c r="G24" s="2">
        <v>0.04</v>
      </c>
      <c r="H24" s="2">
        <v>1.7000000000000001E-2</v>
      </c>
      <c r="I24" s="2">
        <v>5.7000000000000002E-2</v>
      </c>
      <c r="J24">
        <v>98</v>
      </c>
      <c r="K24">
        <v>2.4500000000000002</v>
      </c>
      <c r="L24" s="2">
        <v>131.25</v>
      </c>
      <c r="M24" s="26">
        <v>87.5</v>
      </c>
    </row>
    <row r="25" spans="1:13" x14ac:dyDescent="0.25">
      <c r="A25" s="1">
        <v>46146</v>
      </c>
      <c r="B25" s="1" t="str">
        <f>TEXT(Data_Entry[[#This Row],[Date]],"mmmm  yyyy")</f>
        <v>May  2026</v>
      </c>
      <c r="C25" s="2">
        <v>7.9649999999999999</v>
      </c>
      <c r="D25" s="2">
        <v>6.1909999999999998</v>
      </c>
      <c r="E25" s="2">
        <v>4.0140000000000002</v>
      </c>
      <c r="F25" s="2">
        <v>3.7370000000000001</v>
      </c>
      <c r="G25" s="2">
        <v>0.06</v>
      </c>
      <c r="H25" s="2">
        <v>2.4E-2</v>
      </c>
      <c r="I25" s="2">
        <v>8.4000000000000005E-2</v>
      </c>
      <c r="J25">
        <v>168</v>
      </c>
      <c r="K25">
        <v>4.2</v>
      </c>
      <c r="L25" s="2">
        <v>200</v>
      </c>
      <c r="M25" s="26">
        <v>120.21666666666667</v>
      </c>
    </row>
    <row r="26" spans="1:13" x14ac:dyDescent="0.25">
      <c r="A26" s="1">
        <v>46147</v>
      </c>
      <c r="B26" s="1" t="str">
        <f>TEXT(Data_Entry[[#This Row],[Date]],"mmmm  yyyy")</f>
        <v>May  2026</v>
      </c>
      <c r="C26" s="2">
        <v>14.923999999999999</v>
      </c>
      <c r="D26" s="2">
        <v>8.32</v>
      </c>
      <c r="E26" s="2">
        <v>5.0819999999999999</v>
      </c>
      <c r="F26" s="2">
        <v>6.56</v>
      </c>
      <c r="G26" s="2">
        <v>0.1</v>
      </c>
      <c r="H26" s="2">
        <v>4.2999999999999997E-2</v>
      </c>
      <c r="I26" s="2">
        <v>0.14299999999999999</v>
      </c>
      <c r="J26">
        <v>170</v>
      </c>
      <c r="K26">
        <v>4.25</v>
      </c>
      <c r="L26" s="2">
        <v>200</v>
      </c>
      <c r="M26" s="26">
        <v>91.25</v>
      </c>
    </row>
    <row r="27" spans="1:13" x14ac:dyDescent="0.25">
      <c r="A27" s="1">
        <v>46148</v>
      </c>
      <c r="B27" s="1" t="str">
        <f>TEXT(Data_Entry[[#This Row],[Date]],"mmmm  yyyy")</f>
        <v>May  2026</v>
      </c>
      <c r="C27" s="2">
        <v>13.789</v>
      </c>
      <c r="D27" s="2">
        <v>7.4950000000000001</v>
      </c>
      <c r="E27" s="2">
        <v>5.2510000000000003</v>
      </c>
      <c r="F27" s="2">
        <v>6.3209999999999997</v>
      </c>
      <c r="G27" s="2">
        <v>0.08</v>
      </c>
      <c r="H27" s="2">
        <v>3.6999999999999998E-2</v>
      </c>
      <c r="I27" s="2">
        <v>0.11700000000000001</v>
      </c>
      <c r="J27">
        <v>173</v>
      </c>
      <c r="K27">
        <v>4.3250000000000002</v>
      </c>
      <c r="L27" s="2">
        <v>200</v>
      </c>
      <c r="M27" s="26">
        <v>104</v>
      </c>
    </row>
    <row r="28" spans="1:13" x14ac:dyDescent="0.25">
      <c r="A28" s="1">
        <v>46149</v>
      </c>
      <c r="B28" s="1" t="str">
        <f>TEXT(Data_Entry[[#This Row],[Date]],"mmmm  yyyy")</f>
        <v>May  2026</v>
      </c>
      <c r="C28" s="2">
        <v>14.084</v>
      </c>
      <c r="D28" s="2">
        <v>7.3040000000000003</v>
      </c>
      <c r="E28" s="2">
        <v>5.4939999999999998</v>
      </c>
      <c r="F28" s="2">
        <v>6.4790000000000001</v>
      </c>
      <c r="G28" s="2">
        <v>0.08</v>
      </c>
      <c r="H28" s="2">
        <v>3.2000000000000001E-2</v>
      </c>
      <c r="I28" s="2">
        <v>0.112</v>
      </c>
      <c r="J28">
        <v>219</v>
      </c>
      <c r="K28">
        <v>5.4749999999999996</v>
      </c>
      <c r="L28" s="2">
        <v>200</v>
      </c>
      <c r="M28" s="26">
        <v>80.5</v>
      </c>
    </row>
    <row r="29" spans="1:13" x14ac:dyDescent="0.25">
      <c r="A29" s="1">
        <v>46150</v>
      </c>
      <c r="B29" s="1" t="str">
        <f>TEXT(Data_Entry[[#This Row],[Date]],"mmmm  yyyy")</f>
        <v>May  2026</v>
      </c>
      <c r="C29" s="2">
        <v>11.106999999999999</v>
      </c>
      <c r="D29" s="2">
        <v>5.6790000000000003</v>
      </c>
      <c r="E29" s="2">
        <v>5.1669999999999998</v>
      </c>
      <c r="F29" s="2">
        <v>5.0819999999999999</v>
      </c>
      <c r="G29" s="2">
        <v>0.04</v>
      </c>
      <c r="H29" s="2">
        <v>1.6E-2</v>
      </c>
      <c r="I29" s="2">
        <v>5.6000000000000001E-2</v>
      </c>
      <c r="J29">
        <v>209</v>
      </c>
      <c r="K29">
        <v>5.2249999999999996</v>
      </c>
      <c r="L29" s="2">
        <v>200</v>
      </c>
      <c r="M29" s="26">
        <v>81.983333333333334</v>
      </c>
    </row>
    <row r="30" spans="1:13" x14ac:dyDescent="0.25">
      <c r="A30" s="1">
        <v>46151</v>
      </c>
      <c r="B30" s="1" t="str">
        <f>TEXT(Data_Entry[[#This Row],[Date]],"mmmm  yyyy")</f>
        <v>May  2026</v>
      </c>
      <c r="C30" s="2">
        <v>7.9960000000000004</v>
      </c>
      <c r="D30" s="2">
        <v>5.6790000000000003</v>
      </c>
      <c r="E30" s="2">
        <v>3.3039999999999998</v>
      </c>
      <c r="F30" s="2">
        <v>2.7930000000000001</v>
      </c>
      <c r="G30" s="2">
        <v>0.06</v>
      </c>
      <c r="H30" s="2">
        <v>2.5000000000000001E-2</v>
      </c>
      <c r="I30" s="2">
        <v>8.5000000000000006E-2</v>
      </c>
      <c r="J30">
        <v>124</v>
      </c>
      <c r="K30">
        <v>3.1</v>
      </c>
      <c r="L30" s="2">
        <v>131.25</v>
      </c>
      <c r="M30" s="26">
        <v>36.75</v>
      </c>
    </row>
    <row r="31" spans="1:13" x14ac:dyDescent="0.25">
      <c r="A31" s="1">
        <v>46153</v>
      </c>
      <c r="B31" s="1" t="str">
        <f>TEXT(Data_Entry[[#This Row],[Date]],"mmmm  yyyy")</f>
        <v>May  2026</v>
      </c>
      <c r="C31" s="2">
        <v>15.493</v>
      </c>
      <c r="D31" s="2">
        <v>9.6489999999999991</v>
      </c>
      <c r="E31" s="2">
        <v>5.6070000000000002</v>
      </c>
      <c r="F31" s="2">
        <v>5.7190000000000003</v>
      </c>
      <c r="G31" s="2">
        <v>0.08</v>
      </c>
      <c r="H31" s="2">
        <v>4.1000000000000002E-2</v>
      </c>
      <c r="I31" s="2">
        <v>0.121</v>
      </c>
      <c r="J31">
        <v>221</v>
      </c>
      <c r="K31">
        <v>5.5250000000000004</v>
      </c>
      <c r="L31" s="2">
        <v>200</v>
      </c>
      <c r="M31" s="26">
        <v>64</v>
      </c>
    </row>
    <row r="32" spans="1:13" x14ac:dyDescent="0.25">
      <c r="A32" s="1">
        <v>46154</v>
      </c>
      <c r="B32" s="1" t="str">
        <f>TEXT(Data_Entry[[#This Row],[Date]],"mmmm  yyyy")</f>
        <v>May  2026</v>
      </c>
      <c r="C32" s="2">
        <v>14.016999999999999</v>
      </c>
      <c r="D32" s="2">
        <v>8.827</v>
      </c>
      <c r="E32" s="2">
        <v>6.6909999999999998</v>
      </c>
      <c r="F32" s="2">
        <v>5.7279999999999998</v>
      </c>
      <c r="G32" s="2">
        <v>0.06</v>
      </c>
      <c r="H32" s="2">
        <v>3.1E-2</v>
      </c>
      <c r="I32" s="2">
        <v>9.0999999999999998E-2</v>
      </c>
      <c r="J32">
        <v>209</v>
      </c>
      <c r="K32">
        <v>5.2249999999999996</v>
      </c>
      <c r="L32" s="2">
        <v>200</v>
      </c>
      <c r="M32" s="26">
        <v>56</v>
      </c>
    </row>
    <row r="33" spans="1:13" x14ac:dyDescent="0.25">
      <c r="A33" s="1">
        <v>46155</v>
      </c>
      <c r="B33" s="1" t="str">
        <f>TEXT(Data_Entry[[#This Row],[Date]],"mmmm  yyyy")</f>
        <v>May  2026</v>
      </c>
      <c r="C33" s="2">
        <v>7.3380000000000001</v>
      </c>
      <c r="D33" s="2">
        <v>5.1980000000000004</v>
      </c>
      <c r="E33" s="2">
        <v>4.952</v>
      </c>
      <c r="F33" s="2">
        <v>2.0529999999999999</v>
      </c>
      <c r="G33" s="2">
        <v>0.06</v>
      </c>
      <c r="H33" s="2">
        <v>2.5000000000000001E-2</v>
      </c>
      <c r="I33" s="2">
        <v>8.5000000000000006E-2</v>
      </c>
      <c r="J33">
        <v>147</v>
      </c>
      <c r="K33">
        <v>3.6749999999999998</v>
      </c>
      <c r="L33" s="2">
        <v>200</v>
      </c>
      <c r="M33" s="26">
        <v>73.05</v>
      </c>
    </row>
    <row r="34" spans="1:13" x14ac:dyDescent="0.25">
      <c r="A34" s="1">
        <v>46156</v>
      </c>
      <c r="B34" s="1" t="str">
        <f>TEXT(Data_Entry[[#This Row],[Date]],"mmmm  yyyy")</f>
        <v>May  2026</v>
      </c>
      <c r="C34" s="2">
        <v>18.957999999999998</v>
      </c>
      <c r="D34" s="2">
        <v>10.167999999999999</v>
      </c>
      <c r="E34" s="2">
        <v>5.6859999999999999</v>
      </c>
      <c r="F34" s="2">
        <v>8.6639999999999997</v>
      </c>
      <c r="G34" s="2">
        <v>0.14000000000000001</v>
      </c>
      <c r="H34" s="2">
        <v>5.8999999999999997E-2</v>
      </c>
      <c r="I34" s="2">
        <v>0.19900000000000001</v>
      </c>
      <c r="J34">
        <v>270</v>
      </c>
      <c r="K34">
        <v>6.75</v>
      </c>
      <c r="L34" s="2">
        <v>200</v>
      </c>
      <c r="M34" s="26">
        <v>57.31666666666667</v>
      </c>
    </row>
    <row r="35" spans="1:13" x14ac:dyDescent="0.25">
      <c r="A35" s="1">
        <v>46157</v>
      </c>
      <c r="B35" s="1" t="str">
        <f>TEXT(Data_Entry[[#This Row],[Date]],"mmmm  yyyy")</f>
        <v>May  2026</v>
      </c>
      <c r="C35" s="2">
        <v>18.117000000000001</v>
      </c>
      <c r="D35" s="2">
        <v>9.9550000000000001</v>
      </c>
      <c r="E35" s="2">
        <v>4.8</v>
      </c>
      <c r="F35" s="2">
        <v>8.4459999999999997</v>
      </c>
      <c r="G35" s="2">
        <v>0.08</v>
      </c>
      <c r="H35" s="2">
        <v>3.2000000000000001E-2</v>
      </c>
      <c r="I35" s="2">
        <v>0.112</v>
      </c>
      <c r="J35">
        <v>232</v>
      </c>
      <c r="K35">
        <v>5.8</v>
      </c>
      <c r="L35" s="2">
        <v>200</v>
      </c>
      <c r="M35" s="26">
        <v>85.716666666666669</v>
      </c>
    </row>
    <row r="36" spans="1:13" x14ac:dyDescent="0.25">
      <c r="A36" s="1">
        <v>46158</v>
      </c>
      <c r="B36" s="1" t="str">
        <f>TEXT(Data_Entry[[#This Row],[Date]],"mmmm  yyyy")</f>
        <v>May  2026</v>
      </c>
      <c r="C36" s="2">
        <v>11.669</v>
      </c>
      <c r="D36" s="2">
        <v>5.7160000000000002</v>
      </c>
      <c r="E36" s="2">
        <v>4.2190000000000003</v>
      </c>
      <c r="F36" s="2">
        <v>5.5309999999999997</v>
      </c>
      <c r="G36" s="2">
        <v>0.1</v>
      </c>
      <c r="H36" s="2">
        <v>4.2999999999999997E-2</v>
      </c>
      <c r="I36" s="2">
        <v>0.14299999999999999</v>
      </c>
      <c r="J36">
        <v>159</v>
      </c>
      <c r="K36">
        <v>3.9750000000000001</v>
      </c>
      <c r="L36" s="2">
        <v>131.25</v>
      </c>
      <c r="M36" s="26">
        <v>42</v>
      </c>
    </row>
    <row r="37" spans="1:13" x14ac:dyDescent="0.25">
      <c r="A37" s="1">
        <v>46160</v>
      </c>
      <c r="B37" s="1" t="str">
        <f>TEXT(Data_Entry[[#This Row],[Date]],"mmmm  yyyy")</f>
        <v>May  2026</v>
      </c>
      <c r="C37" s="2">
        <v>19.66</v>
      </c>
      <c r="D37" s="2">
        <v>11.064</v>
      </c>
      <c r="E37" s="2">
        <v>6.0990000000000002</v>
      </c>
      <c r="F37" s="2">
        <v>8.8719999999999999</v>
      </c>
      <c r="G37" s="2">
        <v>0.1</v>
      </c>
      <c r="H37" s="2">
        <v>4.1000000000000002E-2</v>
      </c>
      <c r="I37" s="2">
        <v>0.14099999999999999</v>
      </c>
      <c r="J37">
        <v>196</v>
      </c>
      <c r="K37">
        <v>4.9000000000000004</v>
      </c>
      <c r="L37" s="2">
        <v>200</v>
      </c>
      <c r="M37" s="26">
        <v>81.36666666666666</v>
      </c>
    </row>
    <row r="38" spans="1:13" x14ac:dyDescent="0.25">
      <c r="A38" s="1">
        <v>46161</v>
      </c>
      <c r="B38" s="1" t="str">
        <f>TEXT(Data_Entry[[#This Row],[Date]],"mmmm  yyyy")</f>
        <v>May  2026</v>
      </c>
      <c r="C38" s="2">
        <v>16.486999999999998</v>
      </c>
      <c r="D38" s="2">
        <v>8.0039999999999996</v>
      </c>
      <c r="E38" s="2">
        <v>5.008</v>
      </c>
      <c r="F38" s="2">
        <v>8.4049999999999994</v>
      </c>
      <c r="G38" s="2">
        <v>0.1</v>
      </c>
      <c r="H38" s="2">
        <v>4.4999999999999998E-2</v>
      </c>
      <c r="I38" s="2">
        <v>0.14499999999999999</v>
      </c>
      <c r="J38">
        <v>230</v>
      </c>
      <c r="K38">
        <v>5.75</v>
      </c>
      <c r="L38" s="2">
        <v>200</v>
      </c>
      <c r="M38" s="26">
        <v>88.3</v>
      </c>
    </row>
    <row r="39" spans="1:13" x14ac:dyDescent="0.25">
      <c r="A39" s="1">
        <v>46162</v>
      </c>
      <c r="B39" s="1" t="str">
        <f>TEXT(Data_Entry[[#This Row],[Date]],"mmmm  yyyy")</f>
        <v>May  2026</v>
      </c>
      <c r="C39" s="2">
        <v>19.077000000000002</v>
      </c>
      <c r="D39" s="2">
        <v>10.664</v>
      </c>
      <c r="E39" s="2">
        <v>5.149</v>
      </c>
      <c r="F39" s="2">
        <v>8.6199999999999992</v>
      </c>
      <c r="G39" s="2">
        <v>0.1</v>
      </c>
      <c r="H39" s="2">
        <v>0.04</v>
      </c>
      <c r="I39" s="2">
        <v>0.14000000000000001</v>
      </c>
      <c r="J39">
        <v>203</v>
      </c>
      <c r="K39">
        <v>5.0750000000000002</v>
      </c>
      <c r="L39" s="2">
        <v>200</v>
      </c>
      <c r="M39" s="26">
        <v>80.516666666666666</v>
      </c>
    </row>
    <row r="40" spans="1:13" x14ac:dyDescent="0.25">
      <c r="A40" s="1">
        <v>46163</v>
      </c>
      <c r="B40" s="1" t="str">
        <f>TEXT(Data_Entry[[#This Row],[Date]],"mmmm  yyyy")</f>
        <v>May  2026</v>
      </c>
      <c r="C40" s="2">
        <v>17.841999999999999</v>
      </c>
      <c r="D40" s="2">
        <v>10.808</v>
      </c>
      <c r="E40" s="2">
        <v>6.18</v>
      </c>
      <c r="F40" s="2">
        <v>6.3879999999999999</v>
      </c>
      <c r="G40" s="2">
        <v>0.12</v>
      </c>
      <c r="H40" s="2">
        <v>5.1999999999999998E-2</v>
      </c>
      <c r="I40" s="2">
        <v>0.17199999999999999</v>
      </c>
      <c r="J40">
        <v>221</v>
      </c>
      <c r="K40">
        <v>5.5250000000000004</v>
      </c>
      <c r="L40" s="2">
        <v>200</v>
      </c>
      <c r="M40" s="26">
        <v>80.766666666666666</v>
      </c>
    </row>
    <row r="41" spans="1:13" x14ac:dyDescent="0.25">
      <c r="A41" s="1">
        <v>46164</v>
      </c>
      <c r="B41" s="1" t="str">
        <f>TEXT(Data_Entry[[#This Row],[Date]],"mmmm  yyyy")</f>
        <v>May  2026</v>
      </c>
      <c r="C41" s="2">
        <v>17.259</v>
      </c>
      <c r="D41" s="2">
        <v>10.819000000000001</v>
      </c>
      <c r="E41" s="2">
        <v>6.6050000000000004</v>
      </c>
      <c r="F41" s="2">
        <v>6.18</v>
      </c>
      <c r="G41" s="2">
        <v>0.1</v>
      </c>
      <c r="H41" s="2">
        <v>4.1000000000000002E-2</v>
      </c>
      <c r="I41" s="2">
        <v>0.14099999999999999</v>
      </c>
      <c r="J41">
        <v>230</v>
      </c>
      <c r="K41">
        <v>5.75</v>
      </c>
      <c r="L41" s="2">
        <v>200</v>
      </c>
      <c r="M41" s="26">
        <v>56.116666666666667</v>
      </c>
    </row>
    <row r="42" spans="1:13" x14ac:dyDescent="0.25">
      <c r="A42" s="1">
        <v>46165</v>
      </c>
      <c r="B42" s="1" t="str">
        <f>TEXT(Data_Entry[[#This Row],[Date]],"mmmm  yyyy")</f>
        <v>May  2026</v>
      </c>
      <c r="C42" s="2">
        <v>8.8689999999999998</v>
      </c>
      <c r="D42" s="2">
        <v>5.4009999999999998</v>
      </c>
      <c r="E42" s="2">
        <v>4.0039999999999996</v>
      </c>
      <c r="F42" s="2">
        <v>3.5910000000000002</v>
      </c>
      <c r="G42" s="2">
        <v>0.08</v>
      </c>
      <c r="H42" s="2">
        <v>3.2000000000000001E-2</v>
      </c>
      <c r="I42" s="2">
        <v>0.112</v>
      </c>
      <c r="J42">
        <v>164</v>
      </c>
      <c r="K42">
        <v>4.0999999999999996</v>
      </c>
      <c r="L42" s="2">
        <v>131.25</v>
      </c>
      <c r="M42" s="26">
        <v>37.1</v>
      </c>
    </row>
    <row r="43" spans="1:13" x14ac:dyDescent="0.25">
      <c r="A43" s="1">
        <v>46167</v>
      </c>
      <c r="B43" s="1" t="str">
        <f>TEXT(Data_Entry[[#This Row],[Date]],"mmmm  yyyy")</f>
        <v>May  2026</v>
      </c>
      <c r="C43" s="2">
        <v>16.626000000000001</v>
      </c>
      <c r="D43" s="2">
        <v>7.5640000000000001</v>
      </c>
      <c r="E43" s="2">
        <v>3.419</v>
      </c>
      <c r="F43" s="2">
        <v>9.0920000000000005</v>
      </c>
      <c r="G43" s="2">
        <v>0.1</v>
      </c>
      <c r="H43" s="2">
        <v>4.4999999999999998E-2</v>
      </c>
      <c r="I43" s="2">
        <v>0.14499999999999999</v>
      </c>
      <c r="J43">
        <v>221</v>
      </c>
      <c r="K43">
        <v>5.5250000000000004</v>
      </c>
      <c r="L43" s="2">
        <v>200</v>
      </c>
      <c r="M43" s="26">
        <v>120</v>
      </c>
    </row>
    <row r="44" spans="1:13" x14ac:dyDescent="0.25">
      <c r="A44" s="1">
        <v>46168</v>
      </c>
      <c r="B44" s="1" t="str">
        <f>TEXT(Data_Entry[[#This Row],[Date]],"mmmm  yyyy")</f>
        <v>May  2026</v>
      </c>
      <c r="C44" s="2">
        <v>16.795999999999999</v>
      </c>
      <c r="D44" s="2">
        <v>7.9409999999999998</v>
      </c>
      <c r="E44" s="2">
        <v>4.6040000000000001</v>
      </c>
      <c r="F44" s="2">
        <v>9.2140000000000004</v>
      </c>
      <c r="G44" s="2">
        <v>0.08</v>
      </c>
      <c r="H44" s="2">
        <v>3.5999999999999997E-2</v>
      </c>
      <c r="I44" s="2">
        <v>0.11600000000000001</v>
      </c>
      <c r="J44">
        <v>161</v>
      </c>
      <c r="K44">
        <v>4.0250000000000004</v>
      </c>
      <c r="L44" s="2">
        <v>200</v>
      </c>
      <c r="M44" s="26">
        <v>60.43333333333333</v>
      </c>
    </row>
    <row r="45" spans="1:13" x14ac:dyDescent="0.25">
      <c r="A45" s="1">
        <v>46169</v>
      </c>
      <c r="B45" s="1" t="str">
        <f>TEXT(Data_Entry[[#This Row],[Date]],"mmmm  yyyy")</f>
        <v>May  2026</v>
      </c>
      <c r="C45" s="2">
        <v>15.750999999999999</v>
      </c>
      <c r="D45" s="2">
        <v>8.4849999999999994</v>
      </c>
      <c r="E45" s="2">
        <v>5.6509999999999998</v>
      </c>
      <c r="F45" s="2">
        <v>7.0449999999999999</v>
      </c>
      <c r="G45" s="2">
        <v>0.08</v>
      </c>
      <c r="H45" s="2">
        <v>3.5000000000000003E-2</v>
      </c>
      <c r="I45" s="2">
        <v>0.115</v>
      </c>
      <c r="J45">
        <v>134</v>
      </c>
      <c r="K45">
        <v>3.35</v>
      </c>
      <c r="L45" s="2">
        <v>200</v>
      </c>
      <c r="M45" s="26">
        <v>97.183333333333337</v>
      </c>
    </row>
    <row r="46" spans="1:13" x14ac:dyDescent="0.25">
      <c r="A46" s="1">
        <v>46170</v>
      </c>
      <c r="B46" s="1" t="str">
        <f>TEXT(Data_Entry[[#This Row],[Date]],"mmmm  yyyy")</f>
        <v>May  2026</v>
      </c>
      <c r="C46" s="2">
        <v>14.387</v>
      </c>
      <c r="D46" s="2">
        <v>7.8449999999999998</v>
      </c>
      <c r="E46" s="2">
        <v>3.8719999999999999</v>
      </c>
      <c r="F46" s="2">
        <v>7.0519999999999996</v>
      </c>
      <c r="G46" s="2">
        <v>0.08</v>
      </c>
      <c r="H46" s="2">
        <v>3.2000000000000001E-2</v>
      </c>
      <c r="I46" s="2">
        <v>0.112</v>
      </c>
      <c r="J46">
        <v>177</v>
      </c>
      <c r="K46">
        <v>4.4249999999999998</v>
      </c>
      <c r="L46" s="2">
        <v>200</v>
      </c>
      <c r="M46" s="26">
        <v>72</v>
      </c>
    </row>
    <row r="47" spans="1:13" x14ac:dyDescent="0.25">
      <c r="A47" s="11">
        <v>46171</v>
      </c>
      <c r="B47" s="11" t="str">
        <f>TEXT(Data_Entry[[#This Row],[Date]],"mmmm  yyyy")</f>
        <v>May  2026</v>
      </c>
      <c r="C47" s="13">
        <v>13.8</v>
      </c>
      <c r="D47" s="13">
        <v>8.9710000000000001</v>
      </c>
      <c r="E47" s="13">
        <v>4.3159999999999998</v>
      </c>
      <c r="F47" s="13">
        <v>4.867</v>
      </c>
      <c r="G47" s="13">
        <v>0.08</v>
      </c>
      <c r="H47" s="13">
        <v>3.3000000000000002E-2</v>
      </c>
      <c r="I47" s="13">
        <v>0.113</v>
      </c>
      <c r="J47" s="12">
        <v>189</v>
      </c>
      <c r="K47" s="12">
        <v>4.7249999999999996</v>
      </c>
      <c r="L47" s="13">
        <v>200</v>
      </c>
      <c r="M47" s="25">
        <v>88</v>
      </c>
    </row>
    <row r="48" spans="1:13" x14ac:dyDescent="0.25">
      <c r="A48" s="1">
        <v>46174</v>
      </c>
      <c r="B48" s="1" t="str">
        <f>TEXT(Data_Entry[[#This Row],[Date]],"mmmm  yyyy")</f>
        <v>June  2026</v>
      </c>
      <c r="C48" s="2">
        <v>15.69</v>
      </c>
      <c r="D48" s="2">
        <v>10.407</v>
      </c>
      <c r="E48" s="2">
        <v>6.3230000000000004</v>
      </c>
      <c r="F48">
        <v>5.077</v>
      </c>
      <c r="G48">
        <v>0.08</v>
      </c>
      <c r="H48">
        <v>3.3000000000000002E-2</v>
      </c>
      <c r="I48">
        <v>0.113</v>
      </c>
      <c r="J48" s="2">
        <v>210</v>
      </c>
      <c r="K48" s="2">
        <v>5.25</v>
      </c>
      <c r="L48" s="2">
        <v>200</v>
      </c>
      <c r="M48" s="26">
        <v>9.1666666666666661</v>
      </c>
    </row>
    <row r="49" spans="1:13" x14ac:dyDescent="0.25">
      <c r="A49" s="1">
        <v>46175</v>
      </c>
      <c r="B49" s="1" t="str">
        <f>TEXT(Data_Entry[[#This Row],[Date]],"mmmm  yyyy")</f>
        <v>June  2026</v>
      </c>
      <c r="C49" s="2">
        <v>18.126999999999999</v>
      </c>
      <c r="D49" s="2">
        <v>10.478999999999999</v>
      </c>
      <c r="E49" s="2">
        <v>9.34</v>
      </c>
      <c r="F49">
        <v>8.0359999999999996</v>
      </c>
      <c r="G49">
        <v>0.1</v>
      </c>
      <c r="H49">
        <v>0.04</v>
      </c>
      <c r="I49">
        <f>Data_Entry[[#This Row],[Iron Dust (Ton)]]+Data_Entry[[#This Row],[Waste(Ton)]]</f>
        <v>0.14000000000000001</v>
      </c>
      <c r="J49" s="2">
        <v>227</v>
      </c>
      <c r="K49" s="2">
        <v>10.925000000000001</v>
      </c>
      <c r="L49" s="2">
        <v>200</v>
      </c>
      <c r="M49" s="26">
        <v>0.66666666666666663</v>
      </c>
    </row>
    <row r="50" spans="1:13" x14ac:dyDescent="0.25">
      <c r="A50" s="1">
        <v>46176</v>
      </c>
      <c r="B50" s="1" t="str">
        <f>TEXT(Data_Entry[[#This Row],[Date]],"mmmm  yyyy")</f>
        <v>June  2026</v>
      </c>
      <c r="C50" s="2">
        <v>20.968</v>
      </c>
      <c r="D50" s="2">
        <v>13.246</v>
      </c>
      <c r="E50" s="2">
        <v>7.0129999999999999</v>
      </c>
      <c r="F50">
        <v>7.7439999999999998</v>
      </c>
      <c r="G50">
        <v>0.18</v>
      </c>
      <c r="H50">
        <v>7.6999999999999999E-2</v>
      </c>
      <c r="I50">
        <f>Data_Entry[[#This Row],[Iron Dust (Ton)]]+Data_Entry[[#This Row],[Waste(Ton)]]</f>
        <v>0.25700000000000001</v>
      </c>
      <c r="J50" s="2">
        <v>282</v>
      </c>
      <c r="K50" s="2">
        <v>12.725</v>
      </c>
      <c r="L50" s="2">
        <v>200</v>
      </c>
      <c r="M50" s="26">
        <v>47.166666666666664</v>
      </c>
    </row>
    <row r="51" spans="1:13" x14ac:dyDescent="0.25">
      <c r="A51" s="1">
        <v>46177</v>
      </c>
      <c r="B51" s="1" t="str">
        <f>TEXT(Data_Entry[[#This Row],[Date]],"mmmm  yyyy")</f>
        <v>June  2026</v>
      </c>
      <c r="C51" s="2">
        <v>22.018000000000001</v>
      </c>
      <c r="D51" s="2">
        <v>12.111000000000001</v>
      </c>
      <c r="E51" s="2">
        <v>6.6130000000000004</v>
      </c>
      <c r="F51">
        <v>9.4250000000000007</v>
      </c>
      <c r="G51">
        <v>0.1</v>
      </c>
      <c r="H51">
        <v>4.1000000000000002E-2</v>
      </c>
      <c r="I51">
        <f>Data_Entry[[#This Row],[Iron Dust (Ton)]]+Data_Entry[[#This Row],[Waste(Ton)]]</f>
        <v>0.14100000000000001</v>
      </c>
      <c r="J51" s="2">
        <v>273</v>
      </c>
      <c r="K51" s="2">
        <v>13.875</v>
      </c>
      <c r="L51" s="2">
        <v>200</v>
      </c>
      <c r="M51" s="26">
        <v>48</v>
      </c>
    </row>
    <row r="52" spans="1:13" x14ac:dyDescent="0.25">
      <c r="A52" s="1">
        <v>46178</v>
      </c>
      <c r="B52" s="1" t="str">
        <f>TEXT(Data_Entry[[#This Row],[Date]],"mmmm  yyyy")</f>
        <v>June  2026</v>
      </c>
      <c r="C52" s="2">
        <v>21.495999999999999</v>
      </c>
      <c r="D52" s="2">
        <v>12.042</v>
      </c>
      <c r="E52" s="2">
        <v>6.33</v>
      </c>
      <c r="F52">
        <v>9.6180000000000003</v>
      </c>
      <c r="G52">
        <v>0.1</v>
      </c>
      <c r="H52">
        <v>0.04</v>
      </c>
      <c r="I52">
        <f>Data_Entry[[#This Row],[Iron Dust (Ton)]]+Data_Entry[[#This Row],[Waste(Ton)]]</f>
        <v>0.14000000000000001</v>
      </c>
      <c r="J52" s="2">
        <v>240</v>
      </c>
      <c r="K52" s="2">
        <v>12.824999999999999</v>
      </c>
      <c r="L52" s="2">
        <v>200</v>
      </c>
      <c r="M52" s="26">
        <v>56</v>
      </c>
    </row>
    <row r="53" spans="1:13" x14ac:dyDescent="0.25">
      <c r="A53" s="1">
        <v>46179</v>
      </c>
      <c r="B53" s="1" t="str">
        <f>TEXT(Data_Entry[[#This Row],[Date]],"mmmm  yyyy")</f>
        <v>June  2026</v>
      </c>
      <c r="C53" s="2">
        <v>6.8170000000000002</v>
      </c>
      <c r="D53" s="2">
        <v>4.7770000000000001</v>
      </c>
      <c r="E53" s="2">
        <v>0</v>
      </c>
      <c r="F53">
        <v>2.3170000000000002</v>
      </c>
      <c r="G53">
        <v>0.06</v>
      </c>
      <c r="H53">
        <v>2.4E-2</v>
      </c>
      <c r="I53">
        <f>Data_Entry[[#This Row],[Iron Dust (Ton)]]+Data_Entry[[#This Row],[Waste(Ton)]]</f>
        <v>8.3999999999999991E-2</v>
      </c>
      <c r="J53" s="2">
        <v>161</v>
      </c>
      <c r="K53" s="2">
        <v>10.025</v>
      </c>
      <c r="L53" s="2">
        <v>131.25</v>
      </c>
      <c r="M53" s="26">
        <v>5.25</v>
      </c>
    </row>
    <row r="54" spans="1:13" x14ac:dyDescent="0.25">
      <c r="A54" s="1">
        <v>46181</v>
      </c>
      <c r="B54" s="1" t="str">
        <f>TEXT(Data_Entry[[#This Row],[Date]],"mmmm  yyyy")</f>
        <v>June  2026</v>
      </c>
      <c r="C54" s="2">
        <v>18.338999999999999</v>
      </c>
      <c r="D54" s="2">
        <v>9.2349999999999994</v>
      </c>
      <c r="E54" s="2">
        <v>6.3979999999999997</v>
      </c>
      <c r="F54">
        <v>9.109</v>
      </c>
      <c r="G54">
        <v>0.08</v>
      </c>
      <c r="H54">
        <v>3.2000000000000001E-2</v>
      </c>
      <c r="I54">
        <f>Data_Entry[[#This Row],[Iron Dust (Ton)]]+Data_Entry[[#This Row],[Waste(Ton)]]</f>
        <v>0.112</v>
      </c>
      <c r="J54" s="2">
        <v>233</v>
      </c>
      <c r="K54" s="2">
        <v>9.85</v>
      </c>
      <c r="L54" s="2">
        <v>200</v>
      </c>
      <c r="M54" s="26">
        <v>96</v>
      </c>
    </row>
    <row r="55" spans="1:13" x14ac:dyDescent="0.25">
      <c r="A55" s="1">
        <v>46182</v>
      </c>
      <c r="B55" s="1" t="str">
        <f>TEXT(Data_Entry[[#This Row],[Date]],"mmmm  yyyy")</f>
        <v>June  2026</v>
      </c>
      <c r="C55" s="2">
        <v>24.094999999999999</v>
      </c>
      <c r="D55" s="2">
        <v>13.768000000000001</v>
      </c>
      <c r="E55" s="2">
        <v>7.4850000000000003</v>
      </c>
      <c r="F55">
        <v>10.663</v>
      </c>
      <c r="G55">
        <v>0.14000000000000001</v>
      </c>
      <c r="H55">
        <v>5.7000000000000002E-2</v>
      </c>
      <c r="I55">
        <f>Data_Entry[[#This Row],[Iron Dust (Ton)]]+Data_Entry[[#This Row],[Waste(Ton)]]</f>
        <v>0.19700000000000001</v>
      </c>
      <c r="J55" s="2">
        <v>277</v>
      </c>
      <c r="K55" s="2">
        <v>12.75</v>
      </c>
      <c r="L55" s="2">
        <v>200</v>
      </c>
      <c r="M55" s="26">
        <v>72</v>
      </c>
    </row>
    <row r="56" spans="1:13" x14ac:dyDescent="0.25">
      <c r="A56" s="1">
        <v>46183</v>
      </c>
      <c r="B56" s="1" t="str">
        <f>TEXT(Data_Entry[[#This Row],[Date]],"mmmm  yyyy")</f>
        <v>June  2026</v>
      </c>
      <c r="C56" s="2">
        <v>23.234000000000002</v>
      </c>
      <c r="D56" s="2">
        <v>14.526</v>
      </c>
      <c r="E56" s="2">
        <v>7.6559999999999997</v>
      </c>
      <c r="F56">
        <v>8.5630000000000006</v>
      </c>
      <c r="G56">
        <v>0.14000000000000001</v>
      </c>
      <c r="H56">
        <v>5.6000000000000001E-2</v>
      </c>
      <c r="I56">
        <f>Data_Entry[[#This Row],[Iron Dust (Ton)]]+Data_Entry[[#This Row],[Waste(Ton)]]</f>
        <v>0.19600000000000001</v>
      </c>
      <c r="J56" s="2">
        <v>273</v>
      </c>
      <c r="K56" s="2">
        <v>13.75</v>
      </c>
      <c r="L56" s="2">
        <v>200</v>
      </c>
      <c r="M56" s="26">
        <v>72</v>
      </c>
    </row>
    <row r="57" spans="1:13" x14ac:dyDescent="0.25">
      <c r="A57" s="1">
        <v>46184</v>
      </c>
      <c r="B57" s="1" t="str">
        <f>TEXT(Data_Entry[[#This Row],[Date]],"mmmm  yyyy")</f>
        <v>June  2026</v>
      </c>
      <c r="C57" s="2">
        <v>26.760999999999999</v>
      </c>
      <c r="D57" s="2">
        <v>19.988</v>
      </c>
      <c r="E57" s="2">
        <v>7.1459999999999999</v>
      </c>
      <c r="F57">
        <v>7.5110000000000001</v>
      </c>
      <c r="G57">
        <v>0.2</v>
      </c>
      <c r="H57">
        <v>8.1000000000000003E-2</v>
      </c>
      <c r="I57">
        <f>Data_Entry[[#This Row],[Iron Dust (Ton)]]+Data_Entry[[#This Row],[Waste(Ton)]]</f>
        <v>0.28100000000000003</v>
      </c>
      <c r="J57" s="2">
        <v>261</v>
      </c>
      <c r="K57" s="2">
        <v>13.35</v>
      </c>
      <c r="L57" s="2">
        <v>200</v>
      </c>
      <c r="M57" s="26">
        <v>104</v>
      </c>
    </row>
    <row r="58" spans="1:13" x14ac:dyDescent="0.25">
      <c r="A58" s="1">
        <v>46185</v>
      </c>
      <c r="B58" s="1" t="str">
        <f>TEXT(Data_Entry[[#This Row],[Date]],"mmmm  yyyy")</f>
        <v>June  2026</v>
      </c>
      <c r="C58" s="2">
        <v>30.395</v>
      </c>
      <c r="D58" s="2">
        <v>18.085000000000001</v>
      </c>
      <c r="E58" s="2">
        <v>6.2430000000000003</v>
      </c>
      <c r="F58">
        <v>11.266</v>
      </c>
      <c r="G58">
        <v>0.14000000000000001</v>
      </c>
      <c r="H58">
        <v>5.6000000000000001E-2</v>
      </c>
      <c r="I58">
        <f>Data_Entry[[#This Row],[Iron Dust (Ton)]]+Data_Entry[[#This Row],[Waste(Ton)]]</f>
        <v>0.19600000000000001</v>
      </c>
      <c r="J58" s="2">
        <v>267</v>
      </c>
      <c r="K58" s="2">
        <v>13.2</v>
      </c>
      <c r="L58" s="2">
        <v>200</v>
      </c>
      <c r="M58" s="26">
        <v>112</v>
      </c>
    </row>
    <row r="59" spans="1:13" x14ac:dyDescent="0.25">
      <c r="A59" s="1">
        <v>46186</v>
      </c>
      <c r="B59" s="1" t="str">
        <f>TEXT(Data_Entry[[#This Row],[Date]],"mmmm  yyyy")</f>
        <v>June  2026</v>
      </c>
      <c r="C59" s="2">
        <v>18.478000000000002</v>
      </c>
      <c r="D59" s="2">
        <v>12.907999999999999</v>
      </c>
      <c r="E59" s="2">
        <v>5.1139999999999999</v>
      </c>
      <c r="F59">
        <v>5.3730000000000002</v>
      </c>
      <c r="G59">
        <v>0.12</v>
      </c>
      <c r="H59">
        <v>4.9000000000000002E-2</v>
      </c>
      <c r="I59">
        <f>Data_Entry[[#This Row],[Iron Dust (Ton)]]+Data_Entry[[#This Row],[Waste(Ton)]]</f>
        <v>0.16899999999999998</v>
      </c>
      <c r="J59" s="2">
        <v>174</v>
      </c>
      <c r="K59" s="2">
        <v>11.025</v>
      </c>
      <c r="L59" s="2">
        <v>131.25</v>
      </c>
      <c r="M59" s="26">
        <v>52.5</v>
      </c>
    </row>
    <row r="60" spans="1:13" x14ac:dyDescent="0.25">
      <c r="A60" s="1">
        <v>46188</v>
      </c>
      <c r="B60" s="1" t="str">
        <f>TEXT(Data_Entry[[#This Row],[Date]],"mmmm  yyyy")</f>
        <v>June  2026</v>
      </c>
      <c r="C60" s="2">
        <v>21.16</v>
      </c>
      <c r="D60" s="2">
        <v>14.106999999999999</v>
      </c>
      <c r="E60" s="2">
        <v>7.0190000000000001</v>
      </c>
      <c r="F60">
        <v>6.6740000000000004</v>
      </c>
      <c r="G60">
        <v>0.14000000000000001</v>
      </c>
      <c r="H60">
        <v>5.6000000000000001E-2</v>
      </c>
      <c r="I60">
        <f>Data_Entry[[#This Row],[Iron Dust (Ton)]]+Data_Entry[[#This Row],[Waste(Ton)]]</f>
        <v>0.19600000000000001</v>
      </c>
      <c r="J60" s="2">
        <v>263</v>
      </c>
      <c r="K60" s="2">
        <v>10.925000000000001</v>
      </c>
      <c r="L60" s="2">
        <v>200</v>
      </c>
      <c r="M60" s="26">
        <v>72</v>
      </c>
    </row>
    <row r="61" spans="1:13" x14ac:dyDescent="0.25">
      <c r="A61" s="1">
        <v>46189</v>
      </c>
      <c r="B61" s="1" t="str">
        <f>TEXT(Data_Entry[[#This Row],[Date]],"mmmm  yyyy")</f>
        <v>June  2026</v>
      </c>
      <c r="C61" s="2">
        <v>16.574999999999999</v>
      </c>
      <c r="D61" s="2">
        <v>10.036</v>
      </c>
      <c r="E61" s="2">
        <v>7.0529999999999999</v>
      </c>
      <c r="F61">
        <v>7.0220000000000002</v>
      </c>
      <c r="G61">
        <v>0.1</v>
      </c>
      <c r="H61">
        <v>4.1000000000000002E-2</v>
      </c>
      <c r="I61">
        <f>Data_Entry[[#This Row],[Iron Dust (Ton)]]+Data_Entry[[#This Row],[Waste(Ton)]]</f>
        <v>0.14100000000000001</v>
      </c>
      <c r="J61" s="2">
        <v>242</v>
      </c>
      <c r="K61" s="2">
        <v>12.625</v>
      </c>
      <c r="L61" s="2">
        <v>200</v>
      </c>
      <c r="M61" s="26">
        <v>72</v>
      </c>
    </row>
    <row r="62" spans="1:13" x14ac:dyDescent="0.25">
      <c r="A62" s="1">
        <v>46190</v>
      </c>
      <c r="B62" s="1" t="str">
        <f>TEXT(Data_Entry[[#This Row],[Date]],"mmmm  yyyy")</f>
        <v>June  2026</v>
      </c>
      <c r="C62" s="2">
        <v>22.8</v>
      </c>
      <c r="D62" s="2">
        <v>14.336</v>
      </c>
      <c r="E62" s="2">
        <v>7.24</v>
      </c>
      <c r="F62">
        <v>8.2569999999999997</v>
      </c>
      <c r="G62">
        <v>0.14000000000000001</v>
      </c>
      <c r="H62">
        <v>5.7000000000000002E-2</v>
      </c>
      <c r="I62">
        <f>Data_Entry[[#This Row],[Iron Dust (Ton)]]+Data_Entry[[#This Row],[Waste(Ton)]]</f>
        <v>0.19700000000000001</v>
      </c>
      <c r="J62" s="2">
        <v>261</v>
      </c>
      <c r="K62" s="2">
        <v>12.574999999999999</v>
      </c>
      <c r="L62" s="2">
        <v>200</v>
      </c>
      <c r="M62" s="26">
        <v>80</v>
      </c>
    </row>
    <row r="63" spans="1:13" x14ac:dyDescent="0.25">
      <c r="A63" s="1">
        <v>46191</v>
      </c>
      <c r="B63" s="1" t="str">
        <f>TEXT(Data_Entry[[#This Row],[Date]],"mmmm  yyyy")</f>
        <v>June  2026</v>
      </c>
      <c r="C63" s="2">
        <v>13.614000000000001</v>
      </c>
      <c r="D63" s="2">
        <v>6.2350000000000003</v>
      </c>
      <c r="E63" s="2">
        <v>6.8289999999999997</v>
      </c>
      <c r="F63">
        <v>8.1419999999999995</v>
      </c>
      <c r="G63">
        <v>0.06</v>
      </c>
      <c r="H63">
        <v>2.5000000000000001E-2</v>
      </c>
      <c r="I63">
        <f>Data_Entry[[#This Row],[Iron Dust (Ton)]]+Data_Entry[[#This Row],[Waste(Ton)]]</f>
        <v>8.4999999999999992E-2</v>
      </c>
      <c r="J63" s="2">
        <v>201</v>
      </c>
      <c r="K63" s="2">
        <v>11.55</v>
      </c>
      <c r="L63" s="2">
        <v>200</v>
      </c>
      <c r="M63" s="26">
        <v>56</v>
      </c>
    </row>
    <row r="64" spans="1:13" x14ac:dyDescent="0.25">
      <c r="A64" s="1">
        <v>46192</v>
      </c>
      <c r="B64" s="1" t="str">
        <f>TEXT(Data_Entry[[#This Row],[Date]],"mmmm  yyyy")</f>
        <v>June  2026</v>
      </c>
      <c r="C64" s="2">
        <v>19.934000000000001</v>
      </c>
      <c r="D64" s="2">
        <v>10.039999999999999</v>
      </c>
      <c r="E64" s="2">
        <v>7.0439999999999996</v>
      </c>
      <c r="F64">
        <v>10.151999999999999</v>
      </c>
      <c r="G64">
        <v>0.12</v>
      </c>
      <c r="H64">
        <v>4.9000000000000002E-2</v>
      </c>
      <c r="I64">
        <f>Data_Entry[[#This Row],[Iron Dust (Ton)]]+Data_Entry[[#This Row],[Waste(Ton)]]</f>
        <v>0.16899999999999998</v>
      </c>
      <c r="J64" s="2">
        <v>295</v>
      </c>
      <c r="K64" s="2">
        <v>12.4</v>
      </c>
      <c r="L64" s="2">
        <v>200</v>
      </c>
      <c r="M64" s="26">
        <v>80</v>
      </c>
    </row>
    <row r="65" spans="1:13" x14ac:dyDescent="0.25">
      <c r="A65" s="1">
        <v>46193</v>
      </c>
      <c r="B65" s="1" t="str">
        <f>TEXT(Data_Entry[[#This Row],[Date]],"mmmm  yyyy")</f>
        <v>June  2026</v>
      </c>
      <c r="C65" s="2">
        <v>15.531000000000001</v>
      </c>
      <c r="D65" s="2">
        <v>12.163</v>
      </c>
      <c r="E65" s="2">
        <v>4.1120000000000001</v>
      </c>
      <c r="F65">
        <v>3.6429999999999998</v>
      </c>
      <c r="G65">
        <v>0.1</v>
      </c>
      <c r="H65">
        <v>0.04</v>
      </c>
      <c r="I65">
        <f>Data_Entry[[#This Row],[Iron Dust (Ton)]]+Data_Entry[[#This Row],[Waste(Ton)]]</f>
        <v>0.14000000000000001</v>
      </c>
      <c r="J65" s="2">
        <v>164</v>
      </c>
      <c r="K65" s="2">
        <v>11.475</v>
      </c>
      <c r="L65" s="2">
        <v>131.25</v>
      </c>
      <c r="M65" s="26">
        <v>57.75</v>
      </c>
    </row>
    <row r="66" spans="1:13" x14ac:dyDescent="0.25">
      <c r="A66" s="1">
        <v>46195</v>
      </c>
      <c r="B66" s="1" t="str">
        <f>TEXT(Data_Entry[[#This Row],[Date]],"mmmm  yyyy")</f>
        <v>June  2026</v>
      </c>
      <c r="C66" s="2">
        <v>19.577999999999999</v>
      </c>
      <c r="D66" s="2">
        <v>13.555</v>
      </c>
      <c r="E66" s="2">
        <v>6.3380000000000001</v>
      </c>
      <c r="F66">
        <v>6.1130000000000004</v>
      </c>
      <c r="G66">
        <v>0.16</v>
      </c>
      <c r="H66">
        <v>6.4000000000000001E-2</v>
      </c>
      <c r="I66">
        <f>Data_Entry[[#This Row],[Iron Dust (Ton)]]+Data_Entry[[#This Row],[Waste(Ton)]]</f>
        <v>0.224</v>
      </c>
      <c r="J66" s="2">
        <v>250</v>
      </c>
      <c r="K66" s="2">
        <v>10.35</v>
      </c>
      <c r="L66" s="2">
        <v>200</v>
      </c>
      <c r="M66" s="26">
        <v>80</v>
      </c>
    </row>
    <row r="67" spans="1:13" x14ac:dyDescent="0.25">
      <c r="A67" s="1">
        <v>46196</v>
      </c>
      <c r="B67" s="1" t="str">
        <f>TEXT(Data_Entry[[#This Row],[Date]],"mmmm  yyyy")</f>
        <v>June  2026</v>
      </c>
      <c r="C67" s="2">
        <v>25.375</v>
      </c>
      <c r="D67" s="2">
        <v>15.138999999999999</v>
      </c>
      <c r="E67" s="2">
        <v>7.3490000000000002</v>
      </c>
      <c r="F67">
        <v>9.9169999999999998</v>
      </c>
      <c r="G67">
        <v>0.14000000000000001</v>
      </c>
      <c r="H67">
        <v>5.6000000000000001E-2</v>
      </c>
      <c r="I67">
        <f>Data_Entry[[#This Row],[Iron Dust (Ton)]]+Data_Entry[[#This Row],[Waste(Ton)]]</f>
        <v>0.19600000000000001</v>
      </c>
      <c r="J67" s="2">
        <v>254</v>
      </c>
      <c r="K67" s="2">
        <v>12.6</v>
      </c>
      <c r="L67" s="2">
        <v>200</v>
      </c>
      <c r="M67" s="26">
        <v>56</v>
      </c>
    </row>
    <row r="68" spans="1:13" x14ac:dyDescent="0.25">
      <c r="A68" s="1">
        <v>46197</v>
      </c>
      <c r="B68" s="1" t="str">
        <f>TEXT(Data_Entry[[#This Row],[Date]],"mmmm  yyyy")</f>
        <v>June  2026</v>
      </c>
      <c r="C68" s="2">
        <v>20.152999999999999</v>
      </c>
      <c r="D68" s="2">
        <v>14.382999999999999</v>
      </c>
      <c r="E68" s="2">
        <v>7.0049999999999999</v>
      </c>
      <c r="F68">
        <v>5.3479999999999999</v>
      </c>
      <c r="G68">
        <v>0.14000000000000001</v>
      </c>
      <c r="H68">
        <v>5.7000000000000002E-2</v>
      </c>
      <c r="I68">
        <f>Data_Entry[[#This Row],[Iron Dust (Ton)]]+Data_Entry[[#This Row],[Waste(Ton)]]</f>
        <v>0.19700000000000001</v>
      </c>
      <c r="J68" s="2">
        <v>267</v>
      </c>
      <c r="K68" s="2">
        <v>13.025</v>
      </c>
      <c r="L68" s="2">
        <v>200</v>
      </c>
      <c r="M68" s="26">
        <v>88</v>
      </c>
    </row>
    <row r="69" spans="1:13" x14ac:dyDescent="0.25">
      <c r="A69" s="1">
        <v>46198</v>
      </c>
      <c r="B69" s="1" t="str">
        <f>TEXT(Data_Entry[[#This Row],[Date]],"mmmm  yyyy")</f>
        <v>June  2026</v>
      </c>
      <c r="C69" s="2">
        <v>22.356000000000002</v>
      </c>
      <c r="D69" s="2">
        <v>14.263</v>
      </c>
      <c r="E69" s="2">
        <v>7.3019999999999996</v>
      </c>
      <c r="F69">
        <v>8.3520000000000003</v>
      </c>
      <c r="G69">
        <v>0.12</v>
      </c>
      <c r="H69">
        <v>4.8000000000000001E-2</v>
      </c>
      <c r="I69">
        <f>Data_Entry[[#This Row],[Iron Dust (Ton)]]+Data_Entry[[#This Row],[Waste(Ton)]]</f>
        <v>0.16799999999999998</v>
      </c>
      <c r="J69" s="2">
        <v>235</v>
      </c>
      <c r="K69" s="2">
        <v>12.55</v>
      </c>
      <c r="L69" s="2">
        <v>200</v>
      </c>
      <c r="M69" s="26">
        <v>72</v>
      </c>
    </row>
    <row r="70" spans="1:13" x14ac:dyDescent="0.25">
      <c r="A70" s="1">
        <v>46199</v>
      </c>
      <c r="B70" s="1" t="str">
        <f>TEXT(Data_Entry[[#This Row],[Date]],"mmmm  yyyy")</f>
        <v>June  2026</v>
      </c>
      <c r="C70" s="2">
        <v>20.666</v>
      </c>
      <c r="D70" s="2">
        <v>11.625999999999999</v>
      </c>
      <c r="E70" s="2">
        <v>6.7190000000000003</v>
      </c>
      <c r="F70">
        <v>7.8869999999999996</v>
      </c>
      <c r="G70">
        <v>0.12</v>
      </c>
      <c r="H70">
        <v>4.9000000000000002E-2</v>
      </c>
      <c r="I70">
        <f>Data_Entry[[#This Row],[Iron Dust (Ton)]]+Data_Entry[[#This Row],[Waste(Ton)]]</f>
        <v>0.16899999999999998</v>
      </c>
      <c r="J70" s="2">
        <v>286</v>
      </c>
      <c r="K70" s="2">
        <v>13.025</v>
      </c>
      <c r="L70" s="2">
        <v>200</v>
      </c>
      <c r="M70" s="26">
        <v>48</v>
      </c>
    </row>
    <row r="71" spans="1:13" x14ac:dyDescent="0.25">
      <c r="A71" s="1">
        <v>46200</v>
      </c>
      <c r="B71" s="1" t="str">
        <f>TEXT(Data_Entry[[#This Row],[Date]],"mmmm  yyyy")</f>
        <v>June  2026</v>
      </c>
      <c r="C71" s="2">
        <v>13.592000000000001</v>
      </c>
      <c r="D71" s="2">
        <v>9.3989999999999991</v>
      </c>
      <c r="E71" s="2">
        <v>3.508</v>
      </c>
      <c r="F71">
        <v>4.609</v>
      </c>
      <c r="G71">
        <v>0.08</v>
      </c>
      <c r="H71">
        <v>3.2000000000000001E-2</v>
      </c>
      <c r="I71">
        <f>Data_Entry[[#This Row],[Iron Dust (Ton)]]+Data_Entry[[#This Row],[Waste(Ton)]]</f>
        <v>0.112</v>
      </c>
      <c r="J71" s="2">
        <v>159</v>
      </c>
      <c r="K71" s="2">
        <v>11.125</v>
      </c>
      <c r="L71" s="2">
        <v>131.25</v>
      </c>
      <c r="M71" s="26">
        <v>73.5</v>
      </c>
    </row>
    <row r="72" spans="1:13" x14ac:dyDescent="0.25">
      <c r="A72" s="11">
        <v>46203</v>
      </c>
      <c r="B72" s="11" t="str">
        <f>TEXT(Data_Entry[[#This Row],[Date]],"mmmm  yyyy")</f>
        <v>June  2026</v>
      </c>
      <c r="C72" s="13">
        <v>12.64</v>
      </c>
      <c r="D72" s="13">
        <v>7.4509999999999996</v>
      </c>
      <c r="E72" s="13">
        <v>3.274</v>
      </c>
      <c r="F72" s="12">
        <v>4.6260000000000003</v>
      </c>
      <c r="G72" s="12">
        <v>0.08</v>
      </c>
      <c r="H72" s="12">
        <v>3.2000000000000001E-2</v>
      </c>
      <c r="I72">
        <f>Data_Entry[[#This Row],[Iron Dust (Ton)]]+Data_Entry[[#This Row],[Waste(Ton)]]</f>
        <v>0.112</v>
      </c>
      <c r="J72" s="13">
        <v>170</v>
      </c>
      <c r="K72" s="13">
        <v>8.2249999999999996</v>
      </c>
      <c r="L72" s="13">
        <v>200</v>
      </c>
      <c r="M72" s="25">
        <v>120</v>
      </c>
    </row>
    <row r="73" spans="1:13" x14ac:dyDescent="0.25">
      <c r="A73" s="1">
        <v>46204</v>
      </c>
      <c r="B73" s="1" t="str">
        <f>TEXT(Data_Entry[[#This Row],[Date]],"mmmm  yyyy")</f>
        <v>July  2026</v>
      </c>
      <c r="C73">
        <v>12.946</v>
      </c>
      <c r="D73" s="2">
        <v>7.7859999999999996</v>
      </c>
      <c r="E73" s="2">
        <v>3.133</v>
      </c>
      <c r="F73">
        <v>4.9649999999999999</v>
      </c>
      <c r="G73">
        <v>0.08</v>
      </c>
      <c r="H73">
        <v>3.2000000000000001E-2</v>
      </c>
      <c r="I73">
        <f>Data_Entry[[#This Row],[Iron Dust (Ton)]]+Data_Entry[[#This Row],[Waste(Ton)]]</f>
        <v>0.112</v>
      </c>
      <c r="J73" s="2">
        <v>49</v>
      </c>
      <c r="K73" s="2">
        <v>1.2250000000000001</v>
      </c>
      <c r="L73" s="2">
        <v>200</v>
      </c>
      <c r="M73" s="26">
        <v>120</v>
      </c>
    </row>
    <row r="74" spans="1:13" x14ac:dyDescent="0.25">
      <c r="A74" s="1">
        <v>46205</v>
      </c>
      <c r="B74" s="1" t="str">
        <f>TEXT(Data_Entry[[#This Row],[Date]],"mmmm  yyyy")</f>
        <v>July  2026</v>
      </c>
      <c r="C74">
        <v>12.294</v>
      </c>
      <c r="D74" s="2">
        <v>9.9960000000000004</v>
      </c>
      <c r="E74" s="2">
        <v>4.423</v>
      </c>
      <c r="F74">
        <v>2.3010000000000002</v>
      </c>
      <c r="G74">
        <v>0.08</v>
      </c>
      <c r="H74">
        <v>3.4000000000000002E-2</v>
      </c>
      <c r="I74">
        <v>0.114</v>
      </c>
      <c r="J74" s="2">
        <v>248</v>
      </c>
      <c r="K74" s="2">
        <v>6.2</v>
      </c>
      <c r="L74" s="2">
        <v>200</v>
      </c>
      <c r="M74" s="26">
        <v>96</v>
      </c>
    </row>
    <row r="75" spans="1:13" x14ac:dyDescent="0.25">
      <c r="A75" s="1">
        <v>46206</v>
      </c>
      <c r="B75" s="1" t="str">
        <f>TEXT(Data_Entry[[#This Row],[Date]],"mmmm  yyyy")</f>
        <v>July  2026</v>
      </c>
      <c r="C75">
        <v>7.8410000000000002</v>
      </c>
      <c r="D75" s="2">
        <v>5.9320000000000004</v>
      </c>
      <c r="E75" s="2">
        <v>4.1260000000000003</v>
      </c>
      <c r="F75">
        <v>1.599</v>
      </c>
      <c r="G75">
        <v>0.08</v>
      </c>
      <c r="H75">
        <v>3.2000000000000001E-2</v>
      </c>
      <c r="I75">
        <v>0.112</v>
      </c>
      <c r="J75" s="2"/>
      <c r="K75" s="2">
        <v>0</v>
      </c>
      <c r="L75" s="2">
        <v>200</v>
      </c>
      <c r="M75" s="26">
        <v>80</v>
      </c>
    </row>
    <row r="76" spans="1:13" x14ac:dyDescent="0.25">
      <c r="A76" s="1">
        <v>46207</v>
      </c>
      <c r="B76" s="1" t="str">
        <f>TEXT(Data_Entry[[#This Row],[Date]],"mmmm  yyyy")</f>
        <v>July  2026</v>
      </c>
      <c r="C76">
        <v>11.266</v>
      </c>
      <c r="D76" s="2">
        <v>8.1460000000000008</v>
      </c>
      <c r="E76" s="2">
        <v>1.488</v>
      </c>
      <c r="F76">
        <v>3.165</v>
      </c>
      <c r="G76">
        <v>0.08</v>
      </c>
      <c r="H76">
        <v>3.2000000000000001E-2</v>
      </c>
      <c r="I76">
        <v>0.112</v>
      </c>
      <c r="J76" s="2">
        <v>135</v>
      </c>
      <c r="K76" s="2">
        <v>3.375</v>
      </c>
      <c r="L76" s="2">
        <v>131.25</v>
      </c>
      <c r="M76" s="26">
        <v>99.75</v>
      </c>
    </row>
    <row r="77" spans="1:13" x14ac:dyDescent="0.25">
      <c r="A77" s="1">
        <v>46209</v>
      </c>
      <c r="B77" s="1" t="str">
        <f>TEXT(Data_Entry[[#This Row],[Date]],"mmmm  yyyy")</f>
        <v>July  2026</v>
      </c>
      <c r="C77">
        <v>10.57</v>
      </c>
      <c r="D77" s="2">
        <v>8.8510000000000009</v>
      </c>
      <c r="E77" s="2">
        <v>5.9290000000000003</v>
      </c>
      <c r="F77">
        <v>2.1059999999999999</v>
      </c>
      <c r="G77">
        <v>0.08</v>
      </c>
      <c r="H77">
        <v>3.2000000000000001E-2</v>
      </c>
      <c r="I77">
        <v>0.112</v>
      </c>
      <c r="J77" s="2">
        <v>170</v>
      </c>
      <c r="K77" s="2">
        <v>4.25</v>
      </c>
      <c r="L77" s="2">
        <v>200</v>
      </c>
      <c r="M77" s="26">
        <v>56</v>
      </c>
    </row>
    <row r="78" spans="1:13" x14ac:dyDescent="0.25">
      <c r="A78" s="1">
        <v>46210</v>
      </c>
      <c r="B78" s="1" t="str">
        <f>TEXT(Data_Entry[[#This Row],[Date]],"mmmm  yyyy")</f>
        <v>July  2026</v>
      </c>
      <c r="C78">
        <v>16.858000000000001</v>
      </c>
      <c r="D78" s="2">
        <v>12.074999999999999</v>
      </c>
      <c r="E78" s="2">
        <v>6.2789999999999999</v>
      </c>
      <c r="F78">
        <v>4.3520000000000003</v>
      </c>
      <c r="G78">
        <v>0.12</v>
      </c>
      <c r="H78">
        <v>4.8000000000000001E-2</v>
      </c>
      <c r="I78">
        <v>0.16800000000000001</v>
      </c>
      <c r="J78" s="2">
        <v>222</v>
      </c>
      <c r="K78" s="2">
        <v>5.55</v>
      </c>
      <c r="L78" s="2">
        <v>200</v>
      </c>
      <c r="M78" s="26">
        <v>56</v>
      </c>
    </row>
    <row r="79" spans="1:13" x14ac:dyDescent="0.25">
      <c r="A79" s="1">
        <v>46211</v>
      </c>
      <c r="B79" s="1" t="str">
        <f>TEXT(Data_Entry[[#This Row],[Date]],"mmmm  yyyy")</f>
        <v>July  2026</v>
      </c>
      <c r="C79">
        <v>13.497999999999999</v>
      </c>
      <c r="D79" s="2">
        <v>7.5739999999999998</v>
      </c>
      <c r="E79" s="2">
        <v>5.7649999999999997</v>
      </c>
      <c r="F79">
        <v>5.3540000000000001</v>
      </c>
      <c r="G79">
        <v>0.06</v>
      </c>
      <c r="H79">
        <v>2.4E-2</v>
      </c>
      <c r="I79">
        <v>8.4000000000000005E-2</v>
      </c>
      <c r="J79" s="2">
        <v>211</v>
      </c>
      <c r="K79" s="2">
        <v>5.2750000000000004</v>
      </c>
      <c r="L79" s="2">
        <v>200</v>
      </c>
      <c r="M79" s="26">
        <v>72</v>
      </c>
    </row>
    <row r="80" spans="1:13" x14ac:dyDescent="0.25">
      <c r="A80" s="1">
        <v>46212</v>
      </c>
      <c r="B80" s="1" t="str">
        <f>TEXT(Data_Entry[[#This Row],[Date]],"mmmm  yyyy")</f>
        <v>July  2026</v>
      </c>
      <c r="C80">
        <v>13.773999999999999</v>
      </c>
      <c r="D80" s="2">
        <v>9.3629999999999995</v>
      </c>
      <c r="E80" s="2">
        <v>5.1680000000000001</v>
      </c>
      <c r="F80">
        <v>4.32</v>
      </c>
      <c r="G80">
        <v>0.08</v>
      </c>
      <c r="H80">
        <v>3.2000000000000001E-2</v>
      </c>
      <c r="I80">
        <v>0.112</v>
      </c>
      <c r="J80" s="2">
        <v>233</v>
      </c>
      <c r="K80" s="2">
        <v>5.8250000000000002</v>
      </c>
      <c r="L80" s="2">
        <v>200</v>
      </c>
      <c r="M80" s="26">
        <v>72</v>
      </c>
    </row>
    <row r="81" spans="1:13" x14ac:dyDescent="0.25">
      <c r="A81" s="1">
        <v>46213</v>
      </c>
      <c r="B81" s="1" t="str">
        <f>TEXT(Data_Entry[[#This Row],[Date]],"mmmm  yyyy")</f>
        <v>July  2026</v>
      </c>
      <c r="C81">
        <v>13.500999999999999</v>
      </c>
      <c r="D81" s="2">
        <v>9.2100000000000009</v>
      </c>
      <c r="E81" s="2">
        <v>4.7149999999999999</v>
      </c>
      <c r="F81">
        <v>4.0730000000000004</v>
      </c>
      <c r="G81">
        <v>0.12</v>
      </c>
      <c r="H81">
        <v>4.8000000000000001E-2</v>
      </c>
      <c r="I81">
        <v>0.16800000000000001</v>
      </c>
      <c r="J81" s="2">
        <v>279</v>
      </c>
      <c r="K81" s="2">
        <v>6.9749999999999996</v>
      </c>
      <c r="L81" s="2">
        <v>200</v>
      </c>
      <c r="M81" s="26">
        <v>96</v>
      </c>
    </row>
    <row r="82" spans="1:13" x14ac:dyDescent="0.25">
      <c r="A82" s="1">
        <v>46214</v>
      </c>
      <c r="B82" s="1" t="str">
        <f>TEXT(Data_Entry[[#This Row],[Date]],"mmmm  yyyy")</f>
        <v>July  2026</v>
      </c>
      <c r="C82">
        <v>10.574</v>
      </c>
      <c r="D82" s="2">
        <v>7.2709999999999999</v>
      </c>
      <c r="E82" s="2">
        <v>4.0090000000000003</v>
      </c>
      <c r="F82">
        <v>3.2949999999999999</v>
      </c>
      <c r="G82">
        <v>0.06</v>
      </c>
      <c r="H82">
        <v>2.4E-2</v>
      </c>
      <c r="I82">
        <v>8.4000000000000005E-2</v>
      </c>
      <c r="J82" s="2">
        <v>171</v>
      </c>
      <c r="K82" s="2">
        <v>4.2750000000000004</v>
      </c>
      <c r="L82" s="2">
        <v>131.25</v>
      </c>
      <c r="M82" s="26">
        <v>57.75</v>
      </c>
    </row>
    <row r="83" spans="1:13" x14ac:dyDescent="0.25">
      <c r="A83" s="1">
        <v>46216</v>
      </c>
      <c r="B83" s="1" t="str">
        <f>TEXT(Data_Entry[[#This Row],[Date]],"mmmm  yyyy")</f>
        <v>July  2026</v>
      </c>
      <c r="C83">
        <v>14.988</v>
      </c>
      <c r="D83" s="2">
        <v>9.1869999999999994</v>
      </c>
      <c r="E83" s="2">
        <v>6.1790000000000003</v>
      </c>
      <c r="F83">
        <v>6.3259999999999996</v>
      </c>
      <c r="G83">
        <v>0.1</v>
      </c>
      <c r="H83">
        <v>0.04</v>
      </c>
      <c r="I83">
        <v>0.14000000000000001</v>
      </c>
      <c r="J83" s="2">
        <v>245</v>
      </c>
      <c r="K83" s="2">
        <v>6.125</v>
      </c>
      <c r="L83" s="2">
        <v>200</v>
      </c>
      <c r="M83" s="26">
        <v>56</v>
      </c>
    </row>
    <row r="84" spans="1:13" x14ac:dyDescent="0.25">
      <c r="A84" s="1">
        <v>46217</v>
      </c>
      <c r="B84" s="1" t="str">
        <f>TEXT(Data_Entry[[#This Row],[Date]],"mmmm  yyyy")</f>
        <v>July  2026</v>
      </c>
      <c r="C84">
        <v>18.655999999999999</v>
      </c>
      <c r="D84" s="2">
        <v>11.367000000000001</v>
      </c>
      <c r="E84" s="2">
        <v>6.5030000000000001</v>
      </c>
      <c r="F84">
        <v>7.6470000000000002</v>
      </c>
      <c r="G84">
        <v>0.1</v>
      </c>
      <c r="H84">
        <v>4.1000000000000002E-2</v>
      </c>
      <c r="I84">
        <v>0.14099999999999999</v>
      </c>
      <c r="J84" s="2">
        <v>236</v>
      </c>
      <c r="K84" s="2">
        <v>5.9</v>
      </c>
      <c r="L84" s="2">
        <v>200</v>
      </c>
      <c r="M84" s="26">
        <v>56</v>
      </c>
    </row>
    <row r="85" spans="1:13" x14ac:dyDescent="0.25">
      <c r="A85" s="1">
        <v>46218</v>
      </c>
      <c r="B85" s="1" t="str">
        <f>TEXT(Data_Entry[[#This Row],[Date]],"mmmm  yyyy")</f>
        <v>July  2026</v>
      </c>
      <c r="C85">
        <v>14.099</v>
      </c>
      <c r="D85" s="2">
        <v>9.66</v>
      </c>
      <c r="E85" s="2">
        <v>6.008</v>
      </c>
      <c r="F85">
        <v>4.6079999999999997</v>
      </c>
      <c r="G85">
        <v>0.13</v>
      </c>
      <c r="H85">
        <v>0.05</v>
      </c>
      <c r="I85">
        <v>0.18</v>
      </c>
      <c r="J85" s="2">
        <v>213</v>
      </c>
      <c r="K85" s="2">
        <v>5.3250000000000002</v>
      </c>
      <c r="L85" s="2">
        <v>200</v>
      </c>
      <c r="M85" s="26">
        <v>88</v>
      </c>
    </row>
    <row r="86" spans="1:13" x14ac:dyDescent="0.25">
      <c r="A86" s="1">
        <v>46219</v>
      </c>
      <c r="B86" s="1" t="str">
        <f>TEXT(Data_Entry[[#This Row],[Date]],"mmmm  yyyy")</f>
        <v>July  2026</v>
      </c>
      <c r="C86">
        <v>10.973000000000001</v>
      </c>
      <c r="D86" s="2">
        <v>7.2889999999999997</v>
      </c>
      <c r="E86" s="2">
        <v>5.5549999999999997</v>
      </c>
      <c r="F86">
        <v>3.7029999999999998</v>
      </c>
      <c r="G86">
        <v>0.04</v>
      </c>
      <c r="H86">
        <v>1.6E-2</v>
      </c>
      <c r="I86">
        <v>5.6000000000000001E-2</v>
      </c>
      <c r="J86" s="2">
        <v>212</v>
      </c>
      <c r="K86" s="2">
        <v>5.3</v>
      </c>
      <c r="L86" s="2">
        <v>200</v>
      </c>
      <c r="M86" s="26">
        <v>72</v>
      </c>
    </row>
    <row r="87" spans="1:13" x14ac:dyDescent="0.25">
      <c r="A87" s="1">
        <v>46220</v>
      </c>
      <c r="B87" s="1" t="str">
        <f>TEXT(Data_Entry[[#This Row],[Date]],"mmmm  yyyy")</f>
        <v>July  2026</v>
      </c>
      <c r="C87">
        <v>10.247999999999999</v>
      </c>
      <c r="D87" s="2">
        <v>6.7130000000000001</v>
      </c>
      <c r="E87" s="2">
        <v>5.2210000000000001</v>
      </c>
      <c r="F87">
        <v>3.5579999999999998</v>
      </c>
      <c r="G87">
        <v>0.06</v>
      </c>
      <c r="H87">
        <v>2.5000000000000001E-2</v>
      </c>
      <c r="I87">
        <v>8.5000000000000006E-2</v>
      </c>
      <c r="J87" s="2">
        <v>224</v>
      </c>
      <c r="K87" s="2">
        <v>5.6</v>
      </c>
      <c r="L87" s="2">
        <v>200</v>
      </c>
      <c r="M87" s="26">
        <v>0</v>
      </c>
    </row>
    <row r="88" spans="1:13" x14ac:dyDescent="0.25">
      <c r="A88" s="1">
        <v>46221</v>
      </c>
      <c r="B88" s="1" t="str">
        <f>TEXT(Data_Entry[[#This Row],[Date]],"mmmm  yyyy")</f>
        <v>July  2026</v>
      </c>
      <c r="C88">
        <v>2.9620000000000002</v>
      </c>
      <c r="D88" s="2">
        <v>2.351</v>
      </c>
      <c r="E88" s="2">
        <v>2.8959999999999999</v>
      </c>
      <c r="F88">
        <v>0.81200000000000006</v>
      </c>
      <c r="G88">
        <v>0.02</v>
      </c>
      <c r="H88">
        <v>8.0000000000000002E-3</v>
      </c>
      <c r="I88">
        <v>2.8000000000000001E-2</v>
      </c>
      <c r="J88" s="2">
        <v>119</v>
      </c>
      <c r="K88" s="2">
        <v>2.9750000000000001</v>
      </c>
      <c r="L88" s="2">
        <v>131.25</v>
      </c>
      <c r="M88" s="26">
        <v>47.25</v>
      </c>
    </row>
    <row r="89" spans="1:13" x14ac:dyDescent="0.25">
      <c r="A89" s="1">
        <v>46223</v>
      </c>
      <c r="B89" s="1" t="str">
        <f>TEXT(Data_Entry[[#This Row],[Date]],"mmmm  yyyy")</f>
        <v>July  2026</v>
      </c>
      <c r="C89">
        <v>12.46</v>
      </c>
      <c r="D89" s="2">
        <v>9.0860000000000003</v>
      </c>
      <c r="E89" s="2">
        <v>4.7320000000000002</v>
      </c>
      <c r="F89">
        <v>3.3170000000000002</v>
      </c>
      <c r="G89">
        <v>0.08</v>
      </c>
      <c r="H89">
        <v>3.2000000000000001E-2</v>
      </c>
      <c r="I89">
        <v>0.112</v>
      </c>
      <c r="J89" s="2">
        <v>205</v>
      </c>
      <c r="K89" s="2">
        <v>5.125</v>
      </c>
      <c r="L89" s="2">
        <v>200</v>
      </c>
      <c r="M89" s="26">
        <v>64</v>
      </c>
    </row>
    <row r="90" spans="1:13" x14ac:dyDescent="0.25">
      <c r="A90" s="1">
        <v>46224</v>
      </c>
      <c r="B90" s="1" t="str">
        <f>TEXT(Data_Entry[[#This Row],[Date]],"mmmm  yyyy")</f>
        <v>July  2026</v>
      </c>
      <c r="C90">
        <v>15.16</v>
      </c>
      <c r="D90" s="2">
        <v>10.379</v>
      </c>
      <c r="E90" s="2">
        <v>6.22</v>
      </c>
      <c r="F90">
        <v>4.4260000000000002</v>
      </c>
      <c r="G90">
        <v>0.1</v>
      </c>
      <c r="H90">
        <v>0.04</v>
      </c>
      <c r="I90">
        <v>0.14000000000000001</v>
      </c>
      <c r="J90" s="2">
        <v>243</v>
      </c>
      <c r="K90" s="2">
        <v>6.0750000000000002</v>
      </c>
      <c r="L90" s="2">
        <v>200</v>
      </c>
      <c r="M90" s="26">
        <v>56</v>
      </c>
    </row>
    <row r="91" spans="1:13" x14ac:dyDescent="0.25">
      <c r="A91" s="1">
        <v>46225</v>
      </c>
      <c r="B91" s="1" t="str">
        <f>TEXT(Data_Entry[[#This Row],[Date]],"mmmm  yyyy")</f>
        <v>July  2026</v>
      </c>
      <c r="C91">
        <v>12.680999999999999</v>
      </c>
      <c r="D91" s="2">
        <v>8.6780000000000008</v>
      </c>
      <c r="E91" s="2">
        <v>4.7640000000000002</v>
      </c>
      <c r="F91">
        <v>4.4829999999999997</v>
      </c>
      <c r="G91">
        <v>0.06</v>
      </c>
      <c r="H91">
        <v>2.4E-2</v>
      </c>
      <c r="I91">
        <v>8.4000000000000005E-2</v>
      </c>
      <c r="J91" s="2">
        <v>224</v>
      </c>
      <c r="K91" s="2">
        <v>5.6</v>
      </c>
      <c r="L91" s="2">
        <v>200</v>
      </c>
      <c r="M91" s="26">
        <v>80</v>
      </c>
    </row>
    <row r="92" spans="1:13" x14ac:dyDescent="0.25">
      <c r="A92" s="1">
        <v>46226</v>
      </c>
      <c r="B92" s="1" t="str">
        <f>TEXT(Data_Entry[[#This Row],[Date]],"mmmm  yyyy")</f>
        <v>July  2026</v>
      </c>
      <c r="C92">
        <v>13.456</v>
      </c>
      <c r="D92" s="2">
        <v>8.0489999999999995</v>
      </c>
      <c r="E92" s="2">
        <v>6.0679999999999996</v>
      </c>
      <c r="F92">
        <v>5.4109999999999996</v>
      </c>
      <c r="G92">
        <v>0.12</v>
      </c>
      <c r="H92">
        <v>5.1999999999999998E-2</v>
      </c>
      <c r="I92">
        <v>0.17199999999999999</v>
      </c>
      <c r="J92" s="2">
        <v>201</v>
      </c>
      <c r="K92" s="2">
        <v>5.0250000000000004</v>
      </c>
      <c r="L92" s="2">
        <v>200</v>
      </c>
      <c r="M92" s="26">
        <v>88</v>
      </c>
    </row>
    <row r="93" spans="1:13" x14ac:dyDescent="0.25">
      <c r="A93" s="1">
        <v>46227</v>
      </c>
      <c r="B93" s="1" t="str">
        <f>TEXT(Data_Entry[[#This Row],[Date]],"mmmm  yyyy")</f>
        <v>July  2026</v>
      </c>
      <c r="C93">
        <v>19.03</v>
      </c>
      <c r="D93" s="2">
        <v>10.938000000000001</v>
      </c>
      <c r="E93" s="2">
        <v>5.8319999999999999</v>
      </c>
      <c r="F93">
        <v>5.5570000000000004</v>
      </c>
      <c r="G93">
        <v>0.1</v>
      </c>
      <c r="H93">
        <v>0.04</v>
      </c>
      <c r="I93">
        <v>0.14000000000000001</v>
      </c>
      <c r="J93" s="2">
        <v>229</v>
      </c>
      <c r="K93" s="2">
        <v>5.7249999999999996</v>
      </c>
      <c r="L93" s="2">
        <v>200</v>
      </c>
      <c r="M93" s="26">
        <v>96</v>
      </c>
    </row>
    <row r="94" spans="1:13" x14ac:dyDescent="0.25">
      <c r="A94" s="1">
        <v>46228</v>
      </c>
      <c r="B94" s="1" t="str">
        <f>TEXT(Data_Entry[[#This Row],[Date]],"mmmm  yyyy")</f>
        <v>July  2026</v>
      </c>
      <c r="C94">
        <v>11.619</v>
      </c>
      <c r="D94" s="2">
        <v>8.5269999999999992</v>
      </c>
      <c r="E94" s="2">
        <v>4.1749999999999998</v>
      </c>
      <c r="F94">
        <v>2.9969999999999999</v>
      </c>
      <c r="G94">
        <v>0.1</v>
      </c>
      <c r="H94">
        <v>4.2999999999999997E-2</v>
      </c>
      <c r="I94">
        <v>0.14299999999999999</v>
      </c>
      <c r="J94" s="2">
        <v>145</v>
      </c>
      <c r="K94" s="2">
        <v>3.625</v>
      </c>
      <c r="L94" s="2">
        <v>131.25</v>
      </c>
      <c r="M94" s="26">
        <v>42</v>
      </c>
    </row>
    <row r="95" spans="1:13" x14ac:dyDescent="0.25">
      <c r="A95" s="1">
        <v>46230</v>
      </c>
      <c r="B95" s="1" t="str">
        <f>TEXT(Data_Entry[[#This Row],[Date]],"mmmm  yyyy")</f>
        <v>July  2026</v>
      </c>
      <c r="C95">
        <v>17.62</v>
      </c>
      <c r="D95" s="2">
        <v>11.843</v>
      </c>
      <c r="E95" s="2">
        <v>7.1879999999999997</v>
      </c>
      <c r="F95">
        <v>5.5060000000000002</v>
      </c>
      <c r="G95">
        <v>0.12</v>
      </c>
      <c r="H95">
        <v>4.9000000000000002E-2</v>
      </c>
      <c r="I95">
        <v>0.16900000000000001</v>
      </c>
      <c r="J95" s="2">
        <v>254</v>
      </c>
      <c r="K95" s="2">
        <v>6.35</v>
      </c>
      <c r="L95" s="2">
        <v>200</v>
      </c>
      <c r="M95" s="26">
        <v>88</v>
      </c>
    </row>
    <row r="96" spans="1:13" x14ac:dyDescent="0.25">
      <c r="A96" s="1">
        <v>46231</v>
      </c>
      <c r="B96" s="1" t="str">
        <f>TEXT(Data_Entry[[#This Row],[Date]],"mmmm  yyyy")</f>
        <v>July  2026</v>
      </c>
      <c r="C96">
        <v>13.842000000000001</v>
      </c>
      <c r="D96" s="2">
        <v>7.69</v>
      </c>
      <c r="E96" s="2">
        <v>7.3179999999999996</v>
      </c>
      <c r="F96">
        <v>4.3099999999999996</v>
      </c>
      <c r="G96">
        <v>0.12</v>
      </c>
      <c r="H96">
        <v>4.8000000000000001E-2</v>
      </c>
      <c r="I96">
        <v>0.16800000000000001</v>
      </c>
      <c r="J96" s="2">
        <v>264</v>
      </c>
      <c r="K96" s="2">
        <v>6.6</v>
      </c>
      <c r="L96" s="2">
        <v>200</v>
      </c>
      <c r="M96" s="26">
        <v>64</v>
      </c>
    </row>
    <row r="97" spans="1:13" x14ac:dyDescent="0.25">
      <c r="A97" s="1">
        <v>46233</v>
      </c>
      <c r="B97" s="1" t="str">
        <f>TEXT(Data_Entry[[#This Row],[Date]],"mmmm  yyyy")</f>
        <v>July  2026</v>
      </c>
      <c r="C97">
        <v>14.635999999999999</v>
      </c>
      <c r="D97" s="2">
        <v>8.9390000000000001</v>
      </c>
      <c r="E97" s="2">
        <v>5.4029999999999996</v>
      </c>
      <c r="F97">
        <v>5.6719999999999997</v>
      </c>
      <c r="G97">
        <v>8.5000000000000006E-2</v>
      </c>
      <c r="H97">
        <v>3.7999999999999999E-2</v>
      </c>
      <c r="I97">
        <v>0.123</v>
      </c>
      <c r="J97" s="2">
        <v>242</v>
      </c>
      <c r="K97" s="2">
        <v>6.05</v>
      </c>
      <c r="L97" s="2">
        <v>200</v>
      </c>
      <c r="M97" s="26">
        <v>96</v>
      </c>
    </row>
    <row r="98" spans="1:13" x14ac:dyDescent="0.25">
      <c r="A98" s="11">
        <v>46234</v>
      </c>
      <c r="B98" s="11" t="str">
        <f>TEXT(Data_Entry[[#This Row],[Date]],"mmmm  yyyy")</f>
        <v>July  2026</v>
      </c>
      <c r="C98" s="12">
        <v>14.459</v>
      </c>
      <c r="D98" s="13">
        <v>8.327</v>
      </c>
      <c r="E98" s="13">
        <v>6.9089999999999998</v>
      </c>
      <c r="F98" s="12">
        <v>5.742</v>
      </c>
      <c r="G98" s="12">
        <v>0.08</v>
      </c>
      <c r="H98" s="12">
        <v>3.5000000000000003E-2</v>
      </c>
      <c r="I98" s="12">
        <v>0.115</v>
      </c>
      <c r="J98" s="13">
        <v>240</v>
      </c>
      <c r="K98" s="13">
        <v>6</v>
      </c>
      <c r="L98" s="13">
        <v>200</v>
      </c>
      <c r="M98" s="25">
        <v>72</v>
      </c>
    </row>
    <row r="99" spans="1:13" x14ac:dyDescent="0.25">
      <c r="A99" s="1">
        <v>46235</v>
      </c>
      <c r="B99" s="1" t="str">
        <f>TEXT(Data_Entry[[#This Row],[Date]],"mmmm  yyyy")</f>
        <v>August  2026</v>
      </c>
      <c r="C99">
        <v>10.933</v>
      </c>
      <c r="D99">
        <v>6.5620000000000003</v>
      </c>
      <c r="E99" s="2">
        <v>4.3579999999999997</v>
      </c>
      <c r="F99">
        <v>4.1130000000000004</v>
      </c>
      <c r="G99" s="2">
        <v>0.08</v>
      </c>
      <c r="H99">
        <v>3.2000000000000001E-2</v>
      </c>
      <c r="I99">
        <v>0.112</v>
      </c>
      <c r="J99">
        <v>162</v>
      </c>
      <c r="K99">
        <v>4.05</v>
      </c>
      <c r="L99">
        <v>131.25</v>
      </c>
      <c r="M99" s="26">
        <v>42</v>
      </c>
    </row>
    <row r="100" spans="1:13" x14ac:dyDescent="0.25">
      <c r="A100" s="1">
        <v>46237</v>
      </c>
      <c r="B100" s="1" t="str">
        <f>TEXT(Data_Entry[[#This Row],[Date]],"mmmm  yyyy")</f>
        <v>August  2026</v>
      </c>
      <c r="C100">
        <v>13.109</v>
      </c>
      <c r="D100">
        <v>7.4219999999999997</v>
      </c>
      <c r="E100" s="2">
        <v>5.3920000000000003</v>
      </c>
      <c r="F100">
        <v>5.4950000000000001</v>
      </c>
      <c r="G100" s="2">
        <v>0.08</v>
      </c>
      <c r="H100">
        <v>3.5999999999999997E-2</v>
      </c>
      <c r="I100">
        <v>0.11600000000000001</v>
      </c>
      <c r="J100">
        <v>191</v>
      </c>
      <c r="K100">
        <v>4.7750000000000004</v>
      </c>
      <c r="L100">
        <v>200</v>
      </c>
      <c r="M100" s="26">
        <v>72</v>
      </c>
    </row>
    <row r="101" spans="1:13" x14ac:dyDescent="0.25">
      <c r="A101" s="1">
        <v>46238</v>
      </c>
      <c r="B101" s="1" t="str">
        <f>TEXT(Data_Entry[[#This Row],[Date]],"mmmm  yyyy")</f>
        <v>August  2026</v>
      </c>
      <c r="C101">
        <v>15.372999999999999</v>
      </c>
      <c r="D101">
        <v>8.5039999999999996</v>
      </c>
      <c r="E101" s="2">
        <v>6.9119999999999999</v>
      </c>
      <c r="F101">
        <v>6.7720000000000002</v>
      </c>
      <c r="G101" s="2">
        <v>0.12</v>
      </c>
      <c r="H101">
        <v>5.2999999999999999E-2</v>
      </c>
      <c r="I101">
        <v>0.17299999999999999</v>
      </c>
      <c r="J101">
        <v>158</v>
      </c>
      <c r="K101">
        <v>3.95</v>
      </c>
      <c r="L101">
        <v>200</v>
      </c>
      <c r="M101" s="26">
        <v>72</v>
      </c>
    </row>
    <row r="102" spans="1:13" x14ac:dyDescent="0.25">
      <c r="A102" s="1">
        <v>46239</v>
      </c>
      <c r="B102" s="1" t="str">
        <f>TEXT(Data_Entry[[#This Row],[Date]],"mmmm  yyyy")</f>
        <v>August  2026</v>
      </c>
      <c r="C102">
        <v>18.280999999999999</v>
      </c>
      <c r="D102">
        <v>11.93</v>
      </c>
      <c r="E102" s="2">
        <v>6.76</v>
      </c>
      <c r="F102">
        <v>6.1989999999999998</v>
      </c>
      <c r="G102" s="2">
        <v>0.1</v>
      </c>
      <c r="H102">
        <v>4.3999999999999997E-2</v>
      </c>
      <c r="I102">
        <v>0.14399999999999999</v>
      </c>
      <c r="J102">
        <v>205</v>
      </c>
      <c r="K102">
        <v>5.125</v>
      </c>
      <c r="L102">
        <v>200</v>
      </c>
      <c r="M102" s="26">
        <v>64</v>
      </c>
    </row>
    <row r="103" spans="1:13" x14ac:dyDescent="0.25">
      <c r="A103" s="1">
        <v>46240</v>
      </c>
      <c r="B103" s="1" t="str">
        <f>TEXT(Data_Entry[[#This Row],[Date]],"mmmm  yyyy")</f>
        <v>August  2026</v>
      </c>
      <c r="C103">
        <v>13.63</v>
      </c>
      <c r="D103">
        <v>7.9409999999999998</v>
      </c>
      <c r="E103" s="2">
        <v>5.46</v>
      </c>
      <c r="F103">
        <v>5.0540000000000003</v>
      </c>
      <c r="G103" s="2">
        <v>0.1</v>
      </c>
      <c r="H103">
        <v>4.3999999999999997E-2</v>
      </c>
      <c r="I103">
        <v>0.14399999999999999</v>
      </c>
      <c r="J103">
        <v>178</v>
      </c>
      <c r="K103">
        <v>4.45</v>
      </c>
      <c r="L103">
        <v>200</v>
      </c>
      <c r="M103" s="26">
        <v>75.333333333333329</v>
      </c>
    </row>
    <row r="104" spans="1:13" x14ac:dyDescent="0.25">
      <c r="A104" s="1">
        <v>46241</v>
      </c>
      <c r="B104" s="1" t="str">
        <f>TEXT(Data_Entry[[#This Row],[Date]],"mmmm  yyyy")</f>
        <v>August  2026</v>
      </c>
      <c r="C104">
        <v>10.474</v>
      </c>
      <c r="D104">
        <v>5.6829999999999998</v>
      </c>
      <c r="E104" s="2">
        <v>6.5910000000000002</v>
      </c>
      <c r="F104">
        <v>4.9450000000000003</v>
      </c>
      <c r="G104" s="2">
        <v>0.06</v>
      </c>
      <c r="H104">
        <v>2.5000000000000001E-2</v>
      </c>
      <c r="I104">
        <v>8.5000000000000006E-2</v>
      </c>
      <c r="J104">
        <v>211</v>
      </c>
      <c r="K104">
        <v>5.2750000000000004</v>
      </c>
      <c r="L104">
        <v>200</v>
      </c>
      <c r="M104" s="26">
        <v>72</v>
      </c>
    </row>
    <row r="105" spans="1:13" x14ac:dyDescent="0.25">
      <c r="A105" s="1">
        <v>46242</v>
      </c>
      <c r="B105" s="1" t="str">
        <f>TEXT(Data_Entry[[#This Row],[Date]],"mmmm  yyyy")</f>
        <v>August  2026</v>
      </c>
      <c r="C105">
        <v>3.0329999999999999</v>
      </c>
      <c r="D105">
        <v>1.1399999999999999</v>
      </c>
      <c r="E105" s="2">
        <v>1.6479999999999999</v>
      </c>
      <c r="F105">
        <v>1.8680000000000001</v>
      </c>
      <c r="G105" s="2">
        <v>0.02</v>
      </c>
      <c r="H105">
        <v>8.0000000000000002E-3</v>
      </c>
      <c r="I105">
        <v>2.8000000000000001E-2</v>
      </c>
      <c r="J105">
        <v>93</v>
      </c>
      <c r="K105">
        <v>2.3250000000000002</v>
      </c>
      <c r="L105">
        <v>131.25</v>
      </c>
      <c r="M105" s="26">
        <v>63</v>
      </c>
    </row>
    <row r="106" spans="1:13" x14ac:dyDescent="0.25">
      <c r="A106" s="1">
        <v>46244</v>
      </c>
      <c r="B106" s="1" t="str">
        <f>TEXT(Data_Entry[[#This Row],[Date]],"mmmm  yyyy")</f>
        <v>August  2026</v>
      </c>
      <c r="C106">
        <v>9.09</v>
      </c>
      <c r="D106">
        <v>5.39</v>
      </c>
      <c r="E106" s="2">
        <v>2.2599999999999998</v>
      </c>
      <c r="F106">
        <v>3.44</v>
      </c>
      <c r="G106" s="2">
        <v>0.06</v>
      </c>
      <c r="H106">
        <v>2.8000000000000001E-2</v>
      </c>
      <c r="I106">
        <v>8.7999999999999995E-2</v>
      </c>
      <c r="J106">
        <v>143</v>
      </c>
      <c r="K106">
        <v>3.5750000000000002</v>
      </c>
      <c r="L106">
        <v>200</v>
      </c>
      <c r="M106" s="26">
        <v>120</v>
      </c>
    </row>
    <row r="107" spans="1:13" x14ac:dyDescent="0.25">
      <c r="A107" s="1">
        <v>46245</v>
      </c>
      <c r="B107" s="1" t="str">
        <f>TEXT(Data_Entry[[#This Row],[Date]],"mmmm  yyyy")</f>
        <v>August  2026</v>
      </c>
      <c r="C107">
        <v>14.448</v>
      </c>
      <c r="D107">
        <v>10.307</v>
      </c>
      <c r="E107" s="2">
        <v>4.1920000000000002</v>
      </c>
      <c r="F107">
        <v>3.9140000000000001</v>
      </c>
      <c r="G107" s="2">
        <v>0.128</v>
      </c>
      <c r="H107">
        <v>4.9000000000000002E-2</v>
      </c>
      <c r="I107">
        <v>0.17699999999999999</v>
      </c>
      <c r="J107">
        <v>142</v>
      </c>
      <c r="K107">
        <v>3.55</v>
      </c>
      <c r="L107">
        <v>200</v>
      </c>
      <c r="M107" s="26">
        <v>120</v>
      </c>
    </row>
    <row r="108" spans="1:13" x14ac:dyDescent="0.25">
      <c r="A108" s="1">
        <v>46246</v>
      </c>
      <c r="B108" s="1" t="str">
        <f>TEXT(Data_Entry[[#This Row],[Date]],"mmmm  yyyy")</f>
        <v>August  2026</v>
      </c>
      <c r="C108">
        <v>15.273999999999999</v>
      </c>
      <c r="D108">
        <v>10.217000000000001</v>
      </c>
      <c r="E108" s="2">
        <v>6.2329999999999997</v>
      </c>
      <c r="F108">
        <v>4.5839999999999996</v>
      </c>
      <c r="G108" s="2">
        <v>0.11600000000000001</v>
      </c>
      <c r="H108">
        <v>3.2000000000000001E-2</v>
      </c>
      <c r="I108">
        <v>0.14799999999999999</v>
      </c>
      <c r="J108">
        <v>185</v>
      </c>
      <c r="K108">
        <v>4.625</v>
      </c>
      <c r="L108">
        <v>200</v>
      </c>
      <c r="M108" s="26">
        <v>88</v>
      </c>
    </row>
    <row r="109" spans="1:13" x14ac:dyDescent="0.25">
      <c r="A109" s="1">
        <v>46247</v>
      </c>
      <c r="B109" s="1" t="str">
        <f>TEXT(Data_Entry[[#This Row],[Date]],"mmmm  yyyy")</f>
        <v>August  2026</v>
      </c>
      <c r="C109">
        <v>16.754000000000001</v>
      </c>
      <c r="D109">
        <v>12.135999999999999</v>
      </c>
      <c r="E109" s="2">
        <v>6.74</v>
      </c>
      <c r="F109">
        <v>4.6520000000000001</v>
      </c>
      <c r="G109" s="2">
        <v>0.11600000000000001</v>
      </c>
      <c r="H109">
        <v>3.2000000000000001E-2</v>
      </c>
      <c r="I109">
        <v>0.14799999999999999</v>
      </c>
      <c r="J109">
        <v>202</v>
      </c>
      <c r="K109">
        <v>5.05</v>
      </c>
      <c r="L109">
        <v>200</v>
      </c>
      <c r="M109" s="26">
        <v>40</v>
      </c>
    </row>
    <row r="110" spans="1:13" x14ac:dyDescent="0.25">
      <c r="A110" s="1">
        <v>46248</v>
      </c>
      <c r="B110" s="1" t="str">
        <f>TEXT(Data_Entry[[#This Row],[Date]],"mmmm  yyyy")</f>
        <v>August  2026</v>
      </c>
      <c r="C110">
        <v>16.434000000000001</v>
      </c>
      <c r="D110">
        <v>10.346</v>
      </c>
      <c r="E110" s="2">
        <v>7.2039999999999997</v>
      </c>
      <c r="F110">
        <v>6.024</v>
      </c>
      <c r="G110" s="2">
        <v>8.7999999999999995E-2</v>
      </c>
      <c r="H110">
        <v>2.8000000000000001E-2</v>
      </c>
      <c r="I110">
        <v>0.11600000000000001</v>
      </c>
      <c r="J110">
        <v>230</v>
      </c>
      <c r="K110">
        <v>5.75</v>
      </c>
      <c r="L110">
        <v>200</v>
      </c>
      <c r="M110" s="26">
        <v>56</v>
      </c>
    </row>
    <row r="111" spans="1:13" x14ac:dyDescent="0.25">
      <c r="A111" s="1">
        <v>46249</v>
      </c>
      <c r="B111" s="1" t="str">
        <f>TEXT(Data_Entry[[#This Row],[Date]],"mmmm  yyyy")</f>
        <v>August  2026</v>
      </c>
      <c r="C111">
        <v>6.968</v>
      </c>
      <c r="D111">
        <v>5.3179999999999996</v>
      </c>
      <c r="E111" s="2">
        <v>3.7120000000000002</v>
      </c>
      <c r="F111">
        <v>1.609</v>
      </c>
      <c r="G111" s="2">
        <v>2.4E-2</v>
      </c>
      <c r="H111">
        <v>6.0000000000000001E-3</v>
      </c>
      <c r="I111">
        <v>0.03</v>
      </c>
      <c r="J111">
        <v>167</v>
      </c>
      <c r="K111">
        <v>4.1749999999999998</v>
      </c>
      <c r="L111">
        <v>131.25</v>
      </c>
      <c r="M111" s="26">
        <v>47.25</v>
      </c>
    </row>
    <row r="112" spans="1:13" x14ac:dyDescent="0.25">
      <c r="A112" s="1">
        <v>46251</v>
      </c>
      <c r="B112" s="1" t="str">
        <f>TEXT(Data_Entry[[#This Row],[Date]],"mmmm  yyyy")</f>
        <v>August  2026</v>
      </c>
      <c r="C112">
        <v>17.989000000000001</v>
      </c>
      <c r="D112">
        <v>10.861000000000001</v>
      </c>
      <c r="E112" s="2">
        <v>5.0170000000000003</v>
      </c>
      <c r="F112">
        <v>6.8369999999999997</v>
      </c>
      <c r="G112" s="2">
        <v>0.18</v>
      </c>
      <c r="H112">
        <v>5.7000000000000002E-2</v>
      </c>
      <c r="I112">
        <v>0.23699999999999999</v>
      </c>
      <c r="J112">
        <v>175</v>
      </c>
      <c r="K112">
        <v>4.375</v>
      </c>
      <c r="L112">
        <v>200</v>
      </c>
      <c r="M112" s="26">
        <v>80</v>
      </c>
    </row>
    <row r="113" spans="1:13" x14ac:dyDescent="0.25">
      <c r="A113" s="1">
        <v>46252</v>
      </c>
      <c r="B113" s="1" t="str">
        <f>TEXT(Data_Entry[[#This Row],[Date]],"mmmm  yyyy")</f>
        <v>August  2026</v>
      </c>
      <c r="C113">
        <v>18.151</v>
      </c>
      <c r="D113">
        <v>10.646000000000001</v>
      </c>
      <c r="E113" s="2">
        <v>5.843</v>
      </c>
      <c r="F113">
        <v>7.4939999999999998</v>
      </c>
      <c r="G113" s="2">
        <v>9.6000000000000002E-2</v>
      </c>
      <c r="H113">
        <v>3.6999999999999998E-2</v>
      </c>
      <c r="I113">
        <v>0.13300000000000001</v>
      </c>
      <c r="J113">
        <v>238</v>
      </c>
      <c r="K113">
        <v>5.95</v>
      </c>
      <c r="L113">
        <v>200</v>
      </c>
      <c r="M113" s="26">
        <v>40</v>
      </c>
    </row>
    <row r="114" spans="1:13" x14ac:dyDescent="0.25">
      <c r="A114" s="1">
        <v>46253</v>
      </c>
      <c r="B114" s="1" t="str">
        <f>TEXT(Data_Entry[[#This Row],[Date]],"mmmm  yyyy")</f>
        <v>August  2026</v>
      </c>
      <c r="C114">
        <v>17.056999999999999</v>
      </c>
      <c r="D114">
        <v>9.8460000000000001</v>
      </c>
      <c r="E114" s="2">
        <v>6.3090000000000002</v>
      </c>
      <c r="F114">
        <v>6.7789999999999999</v>
      </c>
      <c r="G114" s="2">
        <v>0.14399999999999999</v>
      </c>
      <c r="H114">
        <v>6.2E-2</v>
      </c>
      <c r="I114">
        <v>0.20599999999999999</v>
      </c>
      <c r="J114">
        <v>243</v>
      </c>
      <c r="K114">
        <v>6.0750000000000002</v>
      </c>
      <c r="L114">
        <v>200</v>
      </c>
      <c r="M114" s="26">
        <v>72</v>
      </c>
    </row>
    <row r="115" spans="1:13" x14ac:dyDescent="0.25">
      <c r="A115" s="1">
        <v>46254</v>
      </c>
      <c r="B115" s="1" t="str">
        <f>TEXT(Data_Entry[[#This Row],[Date]],"mmmm  yyyy")</f>
        <v>August  2026</v>
      </c>
      <c r="C115">
        <v>14.813000000000001</v>
      </c>
      <c r="D115">
        <v>9.3439999999999994</v>
      </c>
      <c r="E115" s="2">
        <v>6.4589999999999996</v>
      </c>
      <c r="F115">
        <v>5.673</v>
      </c>
      <c r="G115" s="2">
        <v>0.112</v>
      </c>
      <c r="H115">
        <v>0.04</v>
      </c>
      <c r="I115">
        <v>0.152</v>
      </c>
      <c r="J115">
        <v>214</v>
      </c>
      <c r="K115">
        <v>5.35</v>
      </c>
      <c r="L115">
        <v>200</v>
      </c>
      <c r="M115" s="26">
        <v>72</v>
      </c>
    </row>
    <row r="116" spans="1:13" x14ac:dyDescent="0.25">
      <c r="A116" s="1">
        <v>46255</v>
      </c>
      <c r="B116" s="1" t="str">
        <f>TEXT(Data_Entry[[#This Row],[Date]],"mmmm  yyyy")</f>
        <v>August  2026</v>
      </c>
      <c r="C116">
        <v>16.372</v>
      </c>
      <c r="D116">
        <v>10.781000000000001</v>
      </c>
      <c r="E116" s="2">
        <v>6.6369999999999996</v>
      </c>
      <c r="F116">
        <v>5.9269999999999996</v>
      </c>
      <c r="G116" s="2">
        <v>6.8000000000000005E-2</v>
      </c>
      <c r="H116">
        <v>0.02</v>
      </c>
      <c r="I116">
        <v>8.7999999999999995E-2</v>
      </c>
      <c r="J116">
        <v>269</v>
      </c>
      <c r="K116">
        <v>6.7249999999999996</v>
      </c>
      <c r="L116">
        <v>200</v>
      </c>
      <c r="M116" s="26">
        <v>85</v>
      </c>
    </row>
    <row r="117" spans="1:13" x14ac:dyDescent="0.25">
      <c r="A117" s="1">
        <v>46256</v>
      </c>
      <c r="B117" s="1" t="str">
        <f>TEXT(Data_Entry[[#This Row],[Date]],"mmmm  yyyy")</f>
        <v>August  2026</v>
      </c>
      <c r="C117">
        <v>10.97</v>
      </c>
      <c r="D117">
        <v>7.76</v>
      </c>
      <c r="E117" s="2">
        <v>4.6399999999999997</v>
      </c>
      <c r="F117">
        <v>2.7549999999999999</v>
      </c>
      <c r="G117" s="2">
        <v>9.1999999999999998E-2</v>
      </c>
      <c r="H117">
        <v>2.5999999999999999E-2</v>
      </c>
      <c r="I117">
        <v>0.11799999999999999</v>
      </c>
      <c r="J117">
        <v>187</v>
      </c>
      <c r="K117">
        <v>4.6749999999999998</v>
      </c>
      <c r="L117">
        <v>131.25</v>
      </c>
      <c r="M117" s="26">
        <v>57.75</v>
      </c>
    </row>
    <row r="118" spans="1:13" x14ac:dyDescent="0.25">
      <c r="A118" s="1">
        <v>46258</v>
      </c>
      <c r="B118" s="1" t="str">
        <f>TEXT(Data_Entry[[#This Row],[Date]],"mmmm  yyyy")</f>
        <v>August  2026</v>
      </c>
      <c r="C118">
        <v>18.89</v>
      </c>
      <c r="D118">
        <v>11.904999999999999</v>
      </c>
      <c r="E118" s="2">
        <v>6.7389999999999999</v>
      </c>
      <c r="F118">
        <v>7.0419999999999998</v>
      </c>
      <c r="G118" s="2">
        <v>0.14000000000000001</v>
      </c>
      <c r="H118">
        <v>4.2999999999999997E-2</v>
      </c>
      <c r="I118">
        <v>0.183</v>
      </c>
      <c r="J118">
        <v>281</v>
      </c>
      <c r="K118">
        <v>7.0250000000000004</v>
      </c>
      <c r="L118">
        <v>200</v>
      </c>
      <c r="M118" s="26">
        <v>86.75</v>
      </c>
    </row>
    <row r="119" spans="1:13" x14ac:dyDescent="0.25">
      <c r="A119" s="1">
        <v>46259</v>
      </c>
      <c r="B119" s="1" t="str">
        <f>TEXT(Data_Entry[[#This Row],[Date]],"mmmm  yyyy")</f>
        <v>August  2026</v>
      </c>
      <c r="C119">
        <v>20.847000000000001</v>
      </c>
      <c r="D119">
        <v>11.555</v>
      </c>
      <c r="E119" s="2">
        <v>7.0119999999999996</v>
      </c>
      <c r="F119">
        <v>9.016</v>
      </c>
      <c r="G119" s="2">
        <v>0.14000000000000001</v>
      </c>
      <c r="H119">
        <v>0.04</v>
      </c>
      <c r="I119">
        <v>0.18</v>
      </c>
      <c r="J119">
        <v>260</v>
      </c>
      <c r="K119">
        <v>6.5</v>
      </c>
      <c r="L119">
        <v>200</v>
      </c>
      <c r="M119" s="26">
        <v>74.083333333333329</v>
      </c>
    </row>
    <row r="120" spans="1:13" x14ac:dyDescent="0.25">
      <c r="A120" s="1">
        <v>46262</v>
      </c>
      <c r="B120" s="1" t="str">
        <f>TEXT(Data_Entry[[#This Row],[Date]],"mmmm  yyyy")</f>
        <v>August  2026</v>
      </c>
      <c r="C120">
        <v>18.222000000000001</v>
      </c>
      <c r="D120">
        <v>10.972</v>
      </c>
      <c r="E120" s="2">
        <v>6.7160000000000002</v>
      </c>
      <c r="F120">
        <v>7.2279999999999998</v>
      </c>
      <c r="G120" s="2">
        <v>0.16</v>
      </c>
      <c r="H120">
        <v>0.06</v>
      </c>
      <c r="I120">
        <v>0.22</v>
      </c>
      <c r="J120">
        <v>266</v>
      </c>
      <c r="K120">
        <v>6.65</v>
      </c>
      <c r="L120">
        <v>200</v>
      </c>
      <c r="M120" s="26">
        <v>65.75</v>
      </c>
    </row>
    <row r="121" spans="1:13" x14ac:dyDescent="0.25">
      <c r="A121" s="1">
        <v>46263</v>
      </c>
      <c r="B121" s="1" t="str">
        <f>TEXT(Data_Entry[[#This Row],[Date]],"mmmm  yyyy")</f>
        <v>August  2026</v>
      </c>
      <c r="C121">
        <v>7.0359999999999996</v>
      </c>
      <c r="D121">
        <v>4.0579999999999998</v>
      </c>
      <c r="E121" s="2">
        <v>5.1230000000000002</v>
      </c>
      <c r="F121">
        <v>3.0950000000000002</v>
      </c>
      <c r="G121" s="2">
        <v>0</v>
      </c>
      <c r="H121">
        <v>0</v>
      </c>
      <c r="I121">
        <v>0</v>
      </c>
      <c r="J121">
        <v>147</v>
      </c>
      <c r="K121">
        <v>3.6749999999999998</v>
      </c>
      <c r="L121">
        <v>131.25</v>
      </c>
      <c r="M121" s="26">
        <v>52.5</v>
      </c>
    </row>
    <row r="122" spans="1:13" x14ac:dyDescent="0.25">
      <c r="A122" s="11">
        <v>46265</v>
      </c>
      <c r="B122" s="11" t="str">
        <f>TEXT(Data_Entry[[#This Row],[Date]],"mmmm  yyyy")</f>
        <v>August  2026</v>
      </c>
      <c r="C122" s="12">
        <v>14.807</v>
      </c>
      <c r="D122" s="12">
        <v>10.978</v>
      </c>
      <c r="E122" s="13">
        <v>7.0060000000000002</v>
      </c>
      <c r="F122" s="12">
        <v>3.9140000000000001</v>
      </c>
      <c r="G122" s="13">
        <v>0.14399999999999999</v>
      </c>
      <c r="H122" s="12">
        <v>3.5999999999999997E-2</v>
      </c>
      <c r="I122" s="12">
        <v>0.18</v>
      </c>
      <c r="J122" s="12">
        <v>275</v>
      </c>
      <c r="K122" s="12">
        <v>6.875</v>
      </c>
      <c r="L122" s="12">
        <v>200</v>
      </c>
      <c r="M122" s="25">
        <v>88</v>
      </c>
    </row>
    <row r="123" spans="1:13" x14ac:dyDescent="0.25">
      <c r="A123" s="1">
        <v>46266</v>
      </c>
      <c r="B123" s="1" t="str">
        <f>TEXT(Data_Entry[[#This Row],[Date]],"mmmm  yyyy")</f>
        <v>September  2026</v>
      </c>
      <c r="C123" s="2">
        <v>15.032999999999999</v>
      </c>
      <c r="D123" s="2">
        <v>9.407</v>
      </c>
      <c r="E123" s="2">
        <v>8.016</v>
      </c>
      <c r="F123" s="27">
        <v>5.7990000000000004</v>
      </c>
      <c r="G123" s="2">
        <v>9.6000000000000002E-2</v>
      </c>
      <c r="H123" s="2">
        <v>2.5999999999999999E-2</v>
      </c>
      <c r="I123" s="2">
        <v>0.122</v>
      </c>
      <c r="J123" s="2">
        <v>266</v>
      </c>
      <c r="K123" s="2">
        <v>6.65</v>
      </c>
      <c r="L123" s="2">
        <v>200</v>
      </c>
      <c r="M123" s="26">
        <v>64</v>
      </c>
    </row>
    <row r="124" spans="1:13" x14ac:dyDescent="0.25">
      <c r="A124" s="1">
        <v>46267</v>
      </c>
      <c r="B124" s="1" t="str">
        <f>TEXT(Data_Entry[[#This Row],[Date]],"mmmm  yyyy")</f>
        <v>September  2026</v>
      </c>
      <c r="C124" s="2">
        <v>19.251999999999999</v>
      </c>
      <c r="D124" s="2">
        <v>11.339</v>
      </c>
      <c r="E124" s="2">
        <v>5.2069999999999999</v>
      </c>
      <c r="F124" s="27">
        <v>7.5039999999999996</v>
      </c>
      <c r="G124" s="2">
        <v>0.12</v>
      </c>
      <c r="H124" s="2">
        <v>3.4000000000000002E-2</v>
      </c>
      <c r="I124" s="2">
        <v>0.154</v>
      </c>
      <c r="J124" s="2">
        <v>205</v>
      </c>
      <c r="K124" s="2">
        <v>5.125</v>
      </c>
      <c r="L124" s="2">
        <v>200</v>
      </c>
      <c r="M124" s="26">
        <v>72</v>
      </c>
    </row>
    <row r="125" spans="1:13" x14ac:dyDescent="0.25">
      <c r="A125" s="1">
        <v>46268</v>
      </c>
      <c r="B125" s="1" t="str">
        <f>TEXT(Data_Entry[[#This Row],[Date]],"mmmm  yyyy")</f>
        <v>September  2026</v>
      </c>
      <c r="C125" s="2">
        <v>23.395</v>
      </c>
      <c r="D125" s="2">
        <v>15.448</v>
      </c>
      <c r="E125" s="2">
        <v>4.4630000000000001</v>
      </c>
      <c r="F125" s="27">
        <v>7.6630000000000003</v>
      </c>
      <c r="G125" s="2">
        <v>0.108</v>
      </c>
      <c r="H125" s="2">
        <v>2.8000000000000001E-2</v>
      </c>
      <c r="I125" s="2">
        <v>0.13600000000000001</v>
      </c>
      <c r="J125" s="2">
        <v>243</v>
      </c>
      <c r="K125" s="2">
        <v>6.0750000000000002</v>
      </c>
      <c r="L125" s="2">
        <v>200</v>
      </c>
      <c r="M125" s="26">
        <v>85.25</v>
      </c>
    </row>
    <row r="126" spans="1:13" x14ac:dyDescent="0.25">
      <c r="A126" s="1">
        <v>46269</v>
      </c>
      <c r="B126" s="1" t="str">
        <f>TEXT(Data_Entry[[#This Row],[Date]],"mmmm  yyyy")</f>
        <v>September  2026</v>
      </c>
      <c r="C126" s="2">
        <v>21.873999999999999</v>
      </c>
      <c r="D126" s="2">
        <v>15.404</v>
      </c>
      <c r="E126" s="2">
        <v>6.4139999999999997</v>
      </c>
      <c r="F126" s="27">
        <v>6.4489999999999998</v>
      </c>
      <c r="G126" s="2">
        <v>0.18</v>
      </c>
      <c r="H126" s="2">
        <v>0.05</v>
      </c>
      <c r="I126" s="2">
        <v>0.23</v>
      </c>
      <c r="J126" s="2">
        <v>162</v>
      </c>
      <c r="K126" s="2">
        <v>4.05</v>
      </c>
      <c r="L126" s="2">
        <v>200</v>
      </c>
      <c r="M126" s="26">
        <v>67.666666666666671</v>
      </c>
    </row>
    <row r="127" spans="1:13" x14ac:dyDescent="0.25">
      <c r="A127" s="1">
        <v>46270</v>
      </c>
      <c r="B127" s="1" t="str">
        <f>TEXT(Data_Entry[[#This Row],[Date]],"mmmm  yyyy")</f>
        <v>September  2026</v>
      </c>
      <c r="C127" s="2">
        <v>3.8660000000000001</v>
      </c>
      <c r="D127" s="2">
        <v>3.5680000000000001</v>
      </c>
      <c r="E127" s="2">
        <v>3.9430000000000001</v>
      </c>
      <c r="F127" s="27">
        <v>0.2</v>
      </c>
      <c r="G127" s="2">
        <v>0.04</v>
      </c>
      <c r="H127" s="2">
        <v>1.2E-2</v>
      </c>
      <c r="I127" s="2">
        <v>5.1999999999999998E-2</v>
      </c>
      <c r="J127" s="2">
        <v>88</v>
      </c>
      <c r="K127" s="2">
        <v>2.2000000000000002</v>
      </c>
      <c r="L127" s="2">
        <v>131.25</v>
      </c>
      <c r="M127" s="26">
        <v>47.25</v>
      </c>
    </row>
    <row r="128" spans="1:13" x14ac:dyDescent="0.25">
      <c r="A128" s="1">
        <v>46272</v>
      </c>
      <c r="B128" s="1" t="str">
        <f>TEXT(Data_Entry[[#This Row],[Date]],"mmmm  yyyy")</f>
        <v>September  2026</v>
      </c>
      <c r="C128" s="2">
        <v>20.195</v>
      </c>
      <c r="D128" s="2">
        <v>13.252000000000001</v>
      </c>
      <c r="E128" s="2">
        <v>6.7009999999999996</v>
      </c>
      <c r="F128" s="27">
        <v>6.9320000000000004</v>
      </c>
      <c r="G128" s="2">
        <v>0.12</v>
      </c>
      <c r="H128" s="2">
        <v>3.5999999999999997E-2</v>
      </c>
      <c r="I128" s="2">
        <v>0.156</v>
      </c>
      <c r="J128" s="2">
        <v>223</v>
      </c>
      <c r="K128" s="2">
        <v>5.5750000000000002</v>
      </c>
      <c r="L128" s="2">
        <v>200</v>
      </c>
      <c r="M128" s="26">
        <v>64</v>
      </c>
    </row>
    <row r="129" spans="1:13" x14ac:dyDescent="0.25">
      <c r="A129" s="1">
        <v>46273</v>
      </c>
      <c r="B129" s="1" t="str">
        <f>TEXT(Data_Entry[[#This Row],[Date]],"mmmm  yyyy")</f>
        <v>September  2026</v>
      </c>
      <c r="C129" s="2">
        <v>21.431000000000001</v>
      </c>
      <c r="D129" s="2">
        <v>15.077999999999999</v>
      </c>
      <c r="E129" s="2">
        <v>7.5410000000000004</v>
      </c>
      <c r="F129" s="27">
        <v>6.44</v>
      </c>
      <c r="G129" s="2">
        <v>0.14000000000000001</v>
      </c>
      <c r="H129" s="2">
        <v>4.2000000000000003E-2</v>
      </c>
      <c r="I129" s="2">
        <v>0.182</v>
      </c>
      <c r="J129" s="2">
        <v>242</v>
      </c>
      <c r="K129" s="2">
        <v>6.05</v>
      </c>
      <c r="L129" s="2">
        <v>200</v>
      </c>
      <c r="M129" s="26">
        <v>64.75</v>
      </c>
    </row>
    <row r="130" spans="1:13" x14ac:dyDescent="0.25">
      <c r="A130" s="1">
        <v>46274</v>
      </c>
      <c r="B130" s="1" t="str">
        <f>TEXT(Data_Entry[[#This Row],[Date]],"mmmm  yyyy")</f>
        <v>September  2026</v>
      </c>
      <c r="C130" s="2">
        <v>11.515000000000001</v>
      </c>
      <c r="D130" s="2">
        <v>7.0140000000000002</v>
      </c>
      <c r="E130" s="2">
        <v>6.5990000000000002</v>
      </c>
      <c r="F130" s="27">
        <v>4.4000000000000004</v>
      </c>
      <c r="G130" s="2">
        <v>0.1</v>
      </c>
      <c r="H130" s="2">
        <v>0.03</v>
      </c>
      <c r="I130" s="2">
        <v>0.13</v>
      </c>
      <c r="J130" s="2">
        <v>259</v>
      </c>
      <c r="K130" s="2">
        <v>6.4749999999999996</v>
      </c>
      <c r="L130" s="2">
        <v>200</v>
      </c>
      <c r="M130" s="26">
        <v>64</v>
      </c>
    </row>
    <row r="131" spans="1:13" x14ac:dyDescent="0.25">
      <c r="A131" s="1">
        <v>46275</v>
      </c>
      <c r="B131" s="1" t="str">
        <f>TEXT(Data_Entry[[#This Row],[Date]],"mmmm  yyyy")</f>
        <v>September  2026</v>
      </c>
      <c r="C131" s="2">
        <v>18.187999999999999</v>
      </c>
      <c r="D131" s="2">
        <v>12.175000000000001</v>
      </c>
      <c r="E131" s="2">
        <v>7.8979999999999997</v>
      </c>
      <c r="F131" s="27">
        <v>6.6710000000000003</v>
      </c>
      <c r="G131" s="2">
        <v>0.12</v>
      </c>
      <c r="H131" s="2">
        <v>3.6999999999999998E-2</v>
      </c>
      <c r="I131" s="2">
        <v>0.157</v>
      </c>
      <c r="J131" s="2">
        <v>241</v>
      </c>
      <c r="K131" s="2">
        <v>6.0250000000000004</v>
      </c>
      <c r="L131" s="2">
        <v>200</v>
      </c>
      <c r="M131" s="26">
        <v>51</v>
      </c>
    </row>
    <row r="132" spans="1:13" x14ac:dyDescent="0.25">
      <c r="A132" s="1">
        <v>46276</v>
      </c>
      <c r="B132" s="1" t="str">
        <f>TEXT(Data_Entry[[#This Row],[Date]],"mmmm  yyyy")</f>
        <v>September  2026</v>
      </c>
      <c r="C132" s="2">
        <v>21.135000000000002</v>
      </c>
      <c r="D132" s="2">
        <v>14.497999999999999</v>
      </c>
      <c r="E132" s="2">
        <v>6.7930000000000001</v>
      </c>
      <c r="F132" s="27">
        <v>7.62</v>
      </c>
      <c r="G132" s="2">
        <v>0.12</v>
      </c>
      <c r="H132" s="2">
        <v>3.5999999999999997E-2</v>
      </c>
      <c r="I132" s="2">
        <v>0.156</v>
      </c>
      <c r="J132" s="2">
        <v>237</v>
      </c>
      <c r="K132" s="2">
        <v>5.9249999999999998</v>
      </c>
      <c r="L132" s="2">
        <v>200</v>
      </c>
      <c r="M132" s="26">
        <v>36.833333333333336</v>
      </c>
    </row>
    <row r="133" spans="1:13" x14ac:dyDescent="0.25">
      <c r="A133" s="1">
        <v>46279</v>
      </c>
      <c r="B133" s="1" t="str">
        <f>TEXT(Data_Entry[[#This Row],[Date]],"mmmm  yyyy")</f>
        <v>September  2026</v>
      </c>
      <c r="C133" s="2">
        <v>15.79</v>
      </c>
      <c r="D133" s="2">
        <v>10.62</v>
      </c>
      <c r="E133" s="2">
        <v>7.1420000000000003</v>
      </c>
      <c r="F133" s="27">
        <v>5.4320000000000004</v>
      </c>
      <c r="G133" s="2">
        <v>0.112</v>
      </c>
      <c r="H133" s="2">
        <v>3.5999999999999997E-2</v>
      </c>
      <c r="I133" s="2">
        <v>0.14799999999999999</v>
      </c>
      <c r="J133" s="2">
        <v>251</v>
      </c>
      <c r="K133" s="2">
        <v>6.2750000000000004</v>
      </c>
      <c r="L133" s="2">
        <v>200</v>
      </c>
      <c r="M133" s="26">
        <v>55</v>
      </c>
    </row>
    <row r="134" spans="1:13" x14ac:dyDescent="0.25">
      <c r="A134" s="1">
        <v>46280</v>
      </c>
      <c r="B134" s="1" t="str">
        <f>TEXT(Data_Entry[[#This Row],[Date]],"mmmm  yyyy")</f>
        <v>September  2026</v>
      </c>
      <c r="C134" s="2">
        <v>13.666</v>
      </c>
      <c r="D134" s="2">
        <v>7.3419999999999996</v>
      </c>
      <c r="E134" s="2">
        <v>6.7190000000000003</v>
      </c>
      <c r="F134" s="27">
        <v>6.52</v>
      </c>
      <c r="G134" s="2">
        <v>0.08</v>
      </c>
      <c r="H134" s="2">
        <v>2.4E-2</v>
      </c>
      <c r="I134" s="2">
        <v>0.104</v>
      </c>
      <c r="J134" s="2">
        <v>223</v>
      </c>
      <c r="K134" s="2">
        <v>5.5750000000000002</v>
      </c>
      <c r="L134" s="2">
        <v>200</v>
      </c>
      <c r="M134" s="26">
        <v>69.416666666666671</v>
      </c>
    </row>
    <row r="135" spans="1:13" x14ac:dyDescent="0.25">
      <c r="A135" s="1">
        <v>46281</v>
      </c>
      <c r="B135" s="1" t="str">
        <f>TEXT(Data_Entry[[#This Row],[Date]],"mmmm  yyyy")</f>
        <v>September  2026</v>
      </c>
      <c r="C135" s="2">
        <v>9.5609999999999999</v>
      </c>
      <c r="D135" s="2">
        <v>6.9359999999999999</v>
      </c>
      <c r="E135" s="2">
        <v>6.2809999999999997</v>
      </c>
      <c r="F135" s="27">
        <v>2.339</v>
      </c>
      <c r="G135" s="2">
        <v>0.06</v>
      </c>
      <c r="H135" s="2">
        <v>1.7999999999999999E-2</v>
      </c>
      <c r="I135" s="2">
        <v>7.8E-2</v>
      </c>
      <c r="J135" s="2">
        <v>242</v>
      </c>
      <c r="K135" s="2">
        <v>6.05</v>
      </c>
      <c r="L135" s="2">
        <v>200</v>
      </c>
      <c r="M135" s="26">
        <v>50</v>
      </c>
    </row>
    <row r="136" spans="1:13" x14ac:dyDescent="0.25">
      <c r="A136" s="1">
        <v>46282</v>
      </c>
      <c r="B136" s="1" t="str">
        <f>TEXT(Data_Entry[[#This Row],[Date]],"mmmm  yyyy")</f>
        <v>September  2026</v>
      </c>
      <c r="C136" s="2">
        <v>14.324</v>
      </c>
      <c r="D136" s="2">
        <v>10.233000000000001</v>
      </c>
      <c r="E136" s="2">
        <v>6.9039999999999999</v>
      </c>
      <c r="F136" s="27">
        <v>4.7969999999999997</v>
      </c>
      <c r="G136" s="2">
        <v>0.128</v>
      </c>
      <c r="H136" s="2">
        <v>4.2000000000000003E-2</v>
      </c>
      <c r="I136" s="2">
        <v>0.17</v>
      </c>
      <c r="J136" s="2">
        <v>288</v>
      </c>
      <c r="K136" s="2">
        <v>7.2</v>
      </c>
      <c r="L136" s="2">
        <v>200</v>
      </c>
      <c r="M136" s="26">
        <v>57.25</v>
      </c>
    </row>
    <row r="137" spans="1:13" x14ac:dyDescent="0.25">
      <c r="A137" s="1">
        <v>46283</v>
      </c>
      <c r="B137" s="1" t="str">
        <f>TEXT(Data_Entry[[#This Row],[Date]],"mmmm  yyyy")</f>
        <v>September  2026</v>
      </c>
      <c r="C137" s="2">
        <v>14.879</v>
      </c>
      <c r="D137" s="2">
        <v>11.053000000000001</v>
      </c>
      <c r="E137" s="2">
        <v>6.04</v>
      </c>
      <c r="F137" s="27">
        <v>3.0830000000000002</v>
      </c>
      <c r="G137" s="2">
        <v>9.6000000000000002E-2</v>
      </c>
      <c r="H137" s="2">
        <v>0.03</v>
      </c>
      <c r="I137" s="2">
        <v>0.126</v>
      </c>
      <c r="J137" s="2">
        <v>199</v>
      </c>
      <c r="K137" s="2">
        <v>4.9749999999999996</v>
      </c>
      <c r="L137" s="2">
        <v>200</v>
      </c>
      <c r="M137" s="26">
        <v>54.366666666666667</v>
      </c>
    </row>
    <row r="138" spans="1:13" x14ac:dyDescent="0.25">
      <c r="A138" s="1">
        <v>46284</v>
      </c>
      <c r="B138" s="1" t="str">
        <f>TEXT(Data_Entry[[#This Row],[Date]],"mmmm  yyyy")</f>
        <v>September  2026</v>
      </c>
      <c r="C138" s="2">
        <v>10.95</v>
      </c>
      <c r="D138" s="2">
        <v>8.14</v>
      </c>
      <c r="E138" s="2">
        <v>6.3040000000000003</v>
      </c>
      <c r="F138" s="27">
        <v>2.7530000000000001</v>
      </c>
      <c r="G138" s="2">
        <v>6.4000000000000001E-2</v>
      </c>
      <c r="H138" s="2">
        <v>2.1999999999999999E-2</v>
      </c>
      <c r="I138" s="2">
        <v>8.5999999999999993E-2</v>
      </c>
      <c r="J138" s="2">
        <v>236</v>
      </c>
      <c r="K138" s="2">
        <v>5.9</v>
      </c>
      <c r="L138" s="2">
        <v>200</v>
      </c>
      <c r="M138" s="26">
        <v>53.75</v>
      </c>
    </row>
    <row r="139" spans="1:13" x14ac:dyDescent="0.25">
      <c r="A139" s="1">
        <v>46286</v>
      </c>
      <c r="B139" s="1" t="str">
        <f>TEXT(Data_Entry[[#This Row],[Date]],"mmmm  yyyy")</f>
        <v>September  2026</v>
      </c>
      <c r="C139" s="2">
        <v>13.622</v>
      </c>
      <c r="D139" s="2">
        <v>10.066000000000001</v>
      </c>
      <c r="E139" s="2">
        <v>6.9409999999999998</v>
      </c>
      <c r="F139" s="27">
        <v>3.681</v>
      </c>
      <c r="G139" s="2">
        <v>0.1</v>
      </c>
      <c r="H139" s="2">
        <v>3.4000000000000002E-2</v>
      </c>
      <c r="I139" s="2">
        <v>0.13400000000000001</v>
      </c>
      <c r="J139" s="2">
        <v>283</v>
      </c>
      <c r="K139" s="2">
        <v>7.0750000000000002</v>
      </c>
      <c r="L139" s="2">
        <v>200</v>
      </c>
      <c r="M139" s="26">
        <v>48.75</v>
      </c>
    </row>
    <row r="140" spans="1:13" x14ac:dyDescent="0.25">
      <c r="A140" s="1">
        <v>46287</v>
      </c>
      <c r="B140" s="1" t="str">
        <f>TEXT(Data_Entry[[#This Row],[Date]],"mmmm  yyyy")</f>
        <v>September  2026</v>
      </c>
      <c r="C140" s="2">
        <v>14.147</v>
      </c>
      <c r="D140" s="2">
        <v>9.9890000000000008</v>
      </c>
      <c r="E140" s="2">
        <v>5.7969999999999997</v>
      </c>
      <c r="F140" s="27">
        <v>4.0810000000000004</v>
      </c>
      <c r="G140" s="2">
        <v>0.11600000000000001</v>
      </c>
      <c r="H140" s="2">
        <v>4.2000000000000003E-2</v>
      </c>
      <c r="I140" s="2">
        <v>0.158</v>
      </c>
      <c r="J140" s="2">
        <v>303</v>
      </c>
      <c r="K140" s="2">
        <v>7.5750000000000002</v>
      </c>
      <c r="L140" s="2">
        <v>200</v>
      </c>
      <c r="M140" s="26">
        <v>60.25</v>
      </c>
    </row>
    <row r="141" spans="1:13" x14ac:dyDescent="0.25">
      <c r="A141" s="1">
        <v>46288</v>
      </c>
      <c r="B141" s="1" t="str">
        <f>TEXT(Data_Entry[[#This Row],[Date]],"mmmm  yyyy")</f>
        <v>September  2026</v>
      </c>
      <c r="C141" s="2">
        <v>18.675000000000001</v>
      </c>
      <c r="D141" s="2">
        <v>10.131</v>
      </c>
      <c r="E141" s="2">
        <v>6.4320000000000004</v>
      </c>
      <c r="F141" s="27">
        <v>8.8070000000000004</v>
      </c>
      <c r="G141" s="2">
        <v>0.108</v>
      </c>
      <c r="H141" s="2">
        <v>0.04</v>
      </c>
      <c r="I141" s="2">
        <v>0.14799999999999999</v>
      </c>
      <c r="J141" s="2">
        <v>239</v>
      </c>
      <c r="K141" s="2">
        <v>5.9749999999999996</v>
      </c>
      <c r="L141" s="2">
        <v>200</v>
      </c>
      <c r="M141" s="26">
        <v>58.25</v>
      </c>
    </row>
    <row r="142" spans="1:13" x14ac:dyDescent="0.25">
      <c r="A142" s="1">
        <v>46289</v>
      </c>
      <c r="B142" s="1" t="str">
        <f>TEXT(Data_Entry[[#This Row],[Date]],"mmmm  yyyy")</f>
        <v>September  2026</v>
      </c>
      <c r="C142" s="2">
        <v>18.274999999999999</v>
      </c>
      <c r="D142" s="2">
        <v>12.81</v>
      </c>
      <c r="E142" s="2">
        <v>5.899</v>
      </c>
      <c r="F142" s="27">
        <v>7.343</v>
      </c>
      <c r="G142" s="2">
        <v>0.104</v>
      </c>
      <c r="H142" s="2">
        <v>3.5999999999999997E-2</v>
      </c>
      <c r="I142" s="2">
        <v>0.14000000000000001</v>
      </c>
      <c r="J142" s="2">
        <v>273</v>
      </c>
      <c r="K142" s="2">
        <v>6.8250000000000002</v>
      </c>
      <c r="L142" s="2">
        <v>200</v>
      </c>
      <c r="M142" s="26">
        <v>96</v>
      </c>
    </row>
    <row r="143" spans="1:13" x14ac:dyDescent="0.25">
      <c r="A143" s="1">
        <v>46290</v>
      </c>
      <c r="B143" s="1" t="str">
        <f>TEXT(Data_Entry[[#This Row],[Date]],"mmmm  yyyy")</f>
        <v>September  2026</v>
      </c>
      <c r="C143" s="2">
        <v>21.039000000000001</v>
      </c>
      <c r="D143" s="2">
        <v>13.336</v>
      </c>
      <c r="E143" s="2">
        <v>4.8380000000000001</v>
      </c>
      <c r="F143" s="27">
        <v>8.2360000000000007</v>
      </c>
      <c r="G143" s="2">
        <v>0.14000000000000001</v>
      </c>
      <c r="H143" s="2">
        <v>5.6000000000000001E-2</v>
      </c>
      <c r="I143" s="2">
        <v>0.19600000000000001</v>
      </c>
      <c r="J143" s="2">
        <v>198</v>
      </c>
      <c r="K143" s="2">
        <v>4.95</v>
      </c>
      <c r="L143" s="2">
        <v>200</v>
      </c>
      <c r="M143" s="26">
        <v>88</v>
      </c>
    </row>
    <row r="144" spans="1:13" x14ac:dyDescent="0.25">
      <c r="A144" s="1">
        <v>46293</v>
      </c>
      <c r="B144" s="1" t="str">
        <f>TEXT(Data_Entry[[#This Row],[Date]],"mmmm  yyyy")</f>
        <v>September  2026</v>
      </c>
      <c r="C144" s="2">
        <v>17.713999999999999</v>
      </c>
      <c r="D144" s="2">
        <v>10.837</v>
      </c>
      <c r="E144" s="2">
        <v>6.4630000000000001</v>
      </c>
      <c r="F144" s="27">
        <v>7.609</v>
      </c>
      <c r="G144" s="2">
        <v>0.1</v>
      </c>
      <c r="H144" s="2">
        <v>4.1000000000000002E-2</v>
      </c>
      <c r="I144" s="2">
        <v>0.14099999999999999</v>
      </c>
      <c r="J144" s="2">
        <v>269</v>
      </c>
      <c r="K144" s="2">
        <v>6.7249999999999996</v>
      </c>
      <c r="L144" s="2">
        <v>200</v>
      </c>
      <c r="M144" s="26">
        <v>72</v>
      </c>
    </row>
    <row r="145" spans="1:13" x14ac:dyDescent="0.25">
      <c r="A145" s="1">
        <v>46294</v>
      </c>
      <c r="B145" s="1" t="str">
        <f>TEXT(Data_Entry[[#This Row],[Date]],"mmmm  yyyy")</f>
        <v>September  2026</v>
      </c>
      <c r="C145" s="2">
        <v>21.204000000000001</v>
      </c>
      <c r="D145" s="2">
        <v>13.679</v>
      </c>
      <c r="E145" s="2">
        <v>6.0510000000000002</v>
      </c>
      <c r="F145" s="27">
        <v>7.194</v>
      </c>
      <c r="G145" s="2">
        <v>0.152</v>
      </c>
      <c r="H145" s="2">
        <v>5.1999999999999998E-2</v>
      </c>
      <c r="I145" s="2">
        <v>0.20399999999999999</v>
      </c>
      <c r="J145" s="2">
        <v>242</v>
      </c>
      <c r="K145" s="2">
        <v>6.05</v>
      </c>
      <c r="L145" s="2">
        <v>200</v>
      </c>
      <c r="M145" s="26">
        <v>48</v>
      </c>
    </row>
    <row r="146" spans="1:13" x14ac:dyDescent="0.25">
      <c r="A146" s="11">
        <v>46295</v>
      </c>
      <c r="B146" s="11" t="str">
        <f>TEXT(Data_Entry[[#This Row],[Date]],"mmmm  yyyy")</f>
        <v>September  2026</v>
      </c>
      <c r="C146" s="13">
        <v>15.446</v>
      </c>
      <c r="D146" s="13">
        <v>10.631</v>
      </c>
      <c r="E146" s="13">
        <v>4.9210000000000003</v>
      </c>
      <c r="F146" s="28">
        <v>4.891</v>
      </c>
      <c r="G146" s="13">
        <v>0.104</v>
      </c>
      <c r="H146" s="13">
        <v>4.2000000000000003E-2</v>
      </c>
      <c r="I146" s="13">
        <v>0.14599999999999999</v>
      </c>
      <c r="J146" s="13">
        <v>198</v>
      </c>
      <c r="K146" s="13">
        <v>4.95</v>
      </c>
      <c r="L146" s="13">
        <v>200</v>
      </c>
      <c r="M146" s="25">
        <v>64</v>
      </c>
    </row>
    <row r="147" spans="1:13" x14ac:dyDescent="0.25">
      <c r="A147" s="1"/>
      <c r="B147" s="1"/>
      <c r="C147" s="2"/>
      <c r="D147" s="2"/>
      <c r="E147" s="2"/>
      <c r="F147" s="27"/>
      <c r="G147" s="2"/>
      <c r="H147" s="2"/>
      <c r="I147" s="2"/>
      <c r="J147" s="2"/>
      <c r="K147" s="2"/>
      <c r="L147" s="2"/>
      <c r="M147" s="2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showGridLines="0" topLeftCell="A61" workbookViewId="0">
      <selection activeCell="C69" sqref="C69:C82"/>
    </sheetView>
  </sheetViews>
  <sheetFormatPr defaultRowHeight="15" x14ac:dyDescent="0.25"/>
  <cols>
    <col min="1" max="1" width="16.5703125" customWidth="1"/>
    <col min="2" max="2" width="22" customWidth="1"/>
    <col min="3" max="3" width="28.28515625" style="2" customWidth="1"/>
    <col min="4" max="4" width="22.28515625" customWidth="1"/>
    <col min="5" max="5" width="34.5703125" customWidth="1"/>
    <col min="6" max="6" width="23.7109375" customWidth="1"/>
    <col min="7" max="7" width="15.5703125" customWidth="1"/>
    <col min="8" max="8" width="12.28515625" customWidth="1"/>
    <col min="9" max="9" width="17.7109375" customWidth="1"/>
  </cols>
  <sheetData>
    <row r="1" spans="1:3" x14ac:dyDescent="0.25">
      <c r="A1" s="3" t="s">
        <v>0</v>
      </c>
      <c r="B1" s="18" t="s">
        <v>73</v>
      </c>
      <c r="C1" s="21" t="s">
        <v>74</v>
      </c>
    </row>
    <row r="2" spans="1:3" x14ac:dyDescent="0.25">
      <c r="A2" s="14">
        <v>46113</v>
      </c>
      <c r="B2" s="6" t="s">
        <v>75</v>
      </c>
      <c r="C2" s="19">
        <v>463.25</v>
      </c>
    </row>
    <row r="3" spans="1:3" x14ac:dyDescent="0.25">
      <c r="A3" s="14">
        <v>46113</v>
      </c>
      <c r="B3" s="6" t="s">
        <v>76</v>
      </c>
      <c r="C3" s="19">
        <v>20.366666666666667</v>
      </c>
    </row>
    <row r="4" spans="1:3" x14ac:dyDescent="0.25">
      <c r="A4" s="14">
        <v>46113</v>
      </c>
      <c r="B4" s="6" t="s">
        <v>77</v>
      </c>
      <c r="C4" s="19">
        <v>8</v>
      </c>
    </row>
    <row r="5" spans="1:3" x14ac:dyDescent="0.25">
      <c r="A5" s="14">
        <v>46113</v>
      </c>
      <c r="B5" s="6" t="s">
        <v>78</v>
      </c>
      <c r="C5" s="19">
        <v>8</v>
      </c>
    </row>
    <row r="6" spans="1:3" x14ac:dyDescent="0.25">
      <c r="A6" s="14">
        <v>46113</v>
      </c>
      <c r="B6" s="6" t="s">
        <v>79</v>
      </c>
      <c r="C6" s="19">
        <v>21.25</v>
      </c>
    </row>
    <row r="7" spans="1:3" x14ac:dyDescent="0.25">
      <c r="A7" s="14">
        <v>46113</v>
      </c>
      <c r="B7" s="6" t="s">
        <v>80</v>
      </c>
      <c r="C7" s="19">
        <v>1</v>
      </c>
    </row>
    <row r="8" spans="1:3" x14ac:dyDescent="0.25">
      <c r="A8" s="14">
        <v>46113</v>
      </c>
      <c r="B8" s="6" t="s">
        <v>81</v>
      </c>
      <c r="C8" s="19">
        <v>53.5</v>
      </c>
    </row>
    <row r="9" spans="1:3" x14ac:dyDescent="0.25">
      <c r="A9" s="14">
        <v>46113</v>
      </c>
      <c r="B9" s="6" t="s">
        <v>82</v>
      </c>
      <c r="C9" s="19">
        <v>0.33333333333333331</v>
      </c>
    </row>
    <row r="10" spans="1:3" x14ac:dyDescent="0.25">
      <c r="A10" s="14">
        <v>46113</v>
      </c>
      <c r="B10" s="6" t="s">
        <v>83</v>
      </c>
      <c r="C10" s="19">
        <v>0.5</v>
      </c>
    </row>
    <row r="11" spans="1:3" x14ac:dyDescent="0.25">
      <c r="A11" s="14">
        <v>46113</v>
      </c>
      <c r="B11" s="6" t="s">
        <v>84</v>
      </c>
      <c r="C11" s="19">
        <v>53.25</v>
      </c>
    </row>
    <row r="12" spans="1:3" x14ac:dyDescent="0.25">
      <c r="A12" s="14">
        <v>46113</v>
      </c>
      <c r="B12" s="6" t="s">
        <v>85</v>
      </c>
      <c r="C12" s="19">
        <v>231.75</v>
      </c>
    </row>
    <row r="13" spans="1:3" x14ac:dyDescent="0.25">
      <c r="A13" s="14">
        <v>46113</v>
      </c>
      <c r="B13" s="6" t="s">
        <v>86</v>
      </c>
      <c r="C13" s="19">
        <v>45.25</v>
      </c>
    </row>
    <row r="14" spans="1:3" x14ac:dyDescent="0.25">
      <c r="A14" s="14">
        <v>46113</v>
      </c>
      <c r="B14" s="6" t="s">
        <v>119</v>
      </c>
      <c r="C14" s="19">
        <v>13.25</v>
      </c>
    </row>
    <row r="15" spans="1:3" x14ac:dyDescent="0.25">
      <c r="A15" s="14">
        <v>46113</v>
      </c>
      <c r="B15" s="6" t="s">
        <v>87</v>
      </c>
      <c r="C15" s="19">
        <v>519.25</v>
      </c>
    </row>
    <row r="16" spans="1:3" x14ac:dyDescent="0.25">
      <c r="A16" s="14">
        <v>46113</v>
      </c>
      <c r="B16" s="6" t="s">
        <v>32</v>
      </c>
      <c r="C16" s="19">
        <v>77.25</v>
      </c>
    </row>
    <row r="17" spans="1:3" x14ac:dyDescent="0.25">
      <c r="A17" s="14">
        <v>46143</v>
      </c>
      <c r="B17" s="22" t="s">
        <v>88</v>
      </c>
      <c r="C17" s="19">
        <v>24</v>
      </c>
    </row>
    <row r="18" spans="1:3" x14ac:dyDescent="0.25">
      <c r="A18" s="14">
        <v>46143</v>
      </c>
      <c r="B18" s="22" t="s">
        <v>89</v>
      </c>
      <c r="C18" s="19">
        <v>63.8</v>
      </c>
    </row>
    <row r="19" spans="1:3" x14ac:dyDescent="0.25">
      <c r="A19" s="14">
        <v>46143</v>
      </c>
      <c r="B19" s="22" t="s">
        <v>90</v>
      </c>
      <c r="C19" s="19">
        <v>77.733333333333334</v>
      </c>
    </row>
    <row r="20" spans="1:3" x14ac:dyDescent="0.25">
      <c r="A20" s="14">
        <v>46143</v>
      </c>
      <c r="B20" s="22" t="s">
        <v>87</v>
      </c>
      <c r="C20" s="19">
        <v>577.5</v>
      </c>
    </row>
    <row r="21" spans="1:3" x14ac:dyDescent="0.25">
      <c r="A21" s="14">
        <v>46143</v>
      </c>
      <c r="B21" s="22" t="s">
        <v>91</v>
      </c>
      <c r="C21" s="19">
        <v>117.51666666666667</v>
      </c>
    </row>
    <row r="22" spans="1:3" x14ac:dyDescent="0.25">
      <c r="A22" s="14">
        <v>46143</v>
      </c>
      <c r="B22" s="22" t="s">
        <v>92</v>
      </c>
      <c r="C22" s="19">
        <v>58.783333333333331</v>
      </c>
    </row>
    <row r="23" spans="1:3" x14ac:dyDescent="0.25">
      <c r="A23" s="14">
        <v>46143</v>
      </c>
      <c r="B23" s="22" t="s">
        <v>85</v>
      </c>
      <c r="C23" s="19">
        <v>82.5</v>
      </c>
    </row>
    <row r="24" spans="1:3" x14ac:dyDescent="0.25">
      <c r="A24" s="14">
        <v>46143</v>
      </c>
      <c r="B24" s="6" t="s">
        <v>93</v>
      </c>
      <c r="C24" s="19">
        <v>3.25</v>
      </c>
    </row>
    <row r="25" spans="1:3" x14ac:dyDescent="0.25">
      <c r="A25" s="14">
        <v>46143</v>
      </c>
      <c r="B25" s="6" t="s">
        <v>94</v>
      </c>
      <c r="C25" s="19">
        <v>8</v>
      </c>
    </row>
    <row r="26" spans="1:3" x14ac:dyDescent="0.25">
      <c r="A26" s="14">
        <v>46143</v>
      </c>
      <c r="B26" s="6" t="s">
        <v>95</v>
      </c>
      <c r="C26" s="19">
        <v>16</v>
      </c>
    </row>
    <row r="27" spans="1:3" x14ac:dyDescent="0.25">
      <c r="A27" s="14">
        <v>46143</v>
      </c>
      <c r="B27" s="6" t="s">
        <v>96</v>
      </c>
      <c r="C27" s="19">
        <v>16</v>
      </c>
    </row>
    <row r="28" spans="1:3" x14ac:dyDescent="0.25">
      <c r="A28" s="14">
        <v>46143</v>
      </c>
      <c r="B28" s="6" t="s">
        <v>97</v>
      </c>
      <c r="C28" s="19">
        <v>8</v>
      </c>
    </row>
    <row r="29" spans="1:3" x14ac:dyDescent="0.25">
      <c r="A29" s="14">
        <v>46143</v>
      </c>
      <c r="B29" s="6" t="s">
        <v>98</v>
      </c>
      <c r="C29" s="19">
        <v>8</v>
      </c>
    </row>
    <row r="30" spans="1:3" x14ac:dyDescent="0.25">
      <c r="A30" s="14">
        <v>46143</v>
      </c>
      <c r="B30" s="6" t="s">
        <v>99</v>
      </c>
      <c r="C30" s="19">
        <v>8</v>
      </c>
    </row>
    <row r="31" spans="1:3" x14ac:dyDescent="0.25">
      <c r="A31" s="14">
        <v>46143</v>
      </c>
      <c r="B31" s="6" t="s">
        <v>85</v>
      </c>
      <c r="C31" s="19">
        <v>72</v>
      </c>
    </row>
    <row r="32" spans="1:3" x14ac:dyDescent="0.25">
      <c r="A32" s="14">
        <v>46143</v>
      </c>
      <c r="B32" s="6" t="s">
        <v>100</v>
      </c>
      <c r="C32" s="19">
        <v>0.33333333333333331</v>
      </c>
    </row>
    <row r="33" spans="1:5" x14ac:dyDescent="0.25">
      <c r="A33" s="14">
        <v>46143</v>
      </c>
      <c r="B33" s="6" t="s">
        <v>101</v>
      </c>
      <c r="C33" s="19">
        <v>0.65</v>
      </c>
    </row>
    <row r="34" spans="1:5" x14ac:dyDescent="0.25">
      <c r="A34" s="14">
        <v>46143</v>
      </c>
      <c r="B34" s="6" t="s">
        <v>102</v>
      </c>
      <c r="C34" s="19">
        <v>8</v>
      </c>
    </row>
    <row r="35" spans="1:5" x14ac:dyDescent="0.25">
      <c r="A35" s="14">
        <v>46143</v>
      </c>
      <c r="B35" s="6" t="s">
        <v>103</v>
      </c>
      <c r="C35" s="19">
        <v>13.25</v>
      </c>
    </row>
    <row r="36" spans="1:5" x14ac:dyDescent="0.25">
      <c r="A36" s="14">
        <v>46143</v>
      </c>
      <c r="B36" s="6" t="s">
        <v>32</v>
      </c>
      <c r="C36" s="19">
        <v>678.75</v>
      </c>
    </row>
    <row r="37" spans="1:5" x14ac:dyDescent="0.25">
      <c r="A37" s="16">
        <v>46174</v>
      </c>
      <c r="B37" s="22" t="s">
        <v>88</v>
      </c>
      <c r="C37" s="19">
        <v>145.5</v>
      </c>
    </row>
    <row r="38" spans="1:5" x14ac:dyDescent="0.25">
      <c r="A38" s="16">
        <v>46174</v>
      </c>
      <c r="B38" s="22" t="s">
        <v>89</v>
      </c>
      <c r="C38" s="19">
        <v>0.41666666666666669</v>
      </c>
    </row>
    <row r="39" spans="1:5" x14ac:dyDescent="0.25">
      <c r="A39" s="16">
        <v>46174</v>
      </c>
      <c r="B39" s="6" t="s">
        <v>104</v>
      </c>
      <c r="C39" s="19">
        <v>2.75</v>
      </c>
    </row>
    <row r="40" spans="1:5" x14ac:dyDescent="0.25">
      <c r="A40" s="16">
        <v>46174</v>
      </c>
      <c r="B40" s="6" t="s">
        <v>105</v>
      </c>
      <c r="C40" s="19">
        <v>48</v>
      </c>
    </row>
    <row r="41" spans="1:5" x14ac:dyDescent="0.25">
      <c r="A41" s="16">
        <v>46174</v>
      </c>
      <c r="B41" s="6" t="s">
        <v>106</v>
      </c>
      <c r="C41" s="19">
        <v>0.75</v>
      </c>
    </row>
    <row r="42" spans="1:5" x14ac:dyDescent="0.25">
      <c r="A42" s="16">
        <v>46174</v>
      </c>
      <c r="B42" s="6" t="s">
        <v>107</v>
      </c>
      <c r="C42" s="19">
        <v>0.83333333333333337</v>
      </c>
    </row>
    <row r="43" spans="1:5" x14ac:dyDescent="0.25">
      <c r="A43" s="16">
        <v>46174</v>
      </c>
      <c r="B43" s="6" t="s">
        <v>108</v>
      </c>
      <c r="C43" s="19">
        <v>8</v>
      </c>
    </row>
    <row r="44" spans="1:5" x14ac:dyDescent="0.25">
      <c r="A44" s="16">
        <v>46174</v>
      </c>
      <c r="B44" s="6" t="s">
        <v>109</v>
      </c>
      <c r="C44" s="19">
        <v>8</v>
      </c>
      <c r="E44" s="22"/>
    </row>
    <row r="45" spans="1:5" x14ac:dyDescent="0.25">
      <c r="A45" s="16">
        <v>46174</v>
      </c>
      <c r="B45" s="6" t="s">
        <v>92</v>
      </c>
      <c r="C45" s="19">
        <v>37.25</v>
      </c>
      <c r="E45" s="22"/>
    </row>
    <row r="46" spans="1:5" x14ac:dyDescent="0.25">
      <c r="A46" s="16">
        <v>46174</v>
      </c>
      <c r="B46" s="6" t="s">
        <v>110</v>
      </c>
      <c r="C46" s="19">
        <v>269</v>
      </c>
    </row>
    <row r="47" spans="1:5" x14ac:dyDescent="0.25">
      <c r="A47" s="16">
        <v>46174</v>
      </c>
      <c r="B47" s="6" t="s">
        <v>103</v>
      </c>
      <c r="C47" s="19">
        <v>8</v>
      </c>
    </row>
    <row r="48" spans="1:5" x14ac:dyDescent="0.25">
      <c r="A48" s="16">
        <v>46174</v>
      </c>
      <c r="B48" s="6" t="s">
        <v>111</v>
      </c>
      <c r="C48" s="19">
        <v>769.5</v>
      </c>
    </row>
    <row r="49" spans="1:3" x14ac:dyDescent="0.25">
      <c r="A49" s="16">
        <v>46174</v>
      </c>
      <c r="B49" s="6" t="s">
        <v>32</v>
      </c>
      <c r="C49" s="19">
        <v>332</v>
      </c>
    </row>
    <row r="50" spans="1:3" x14ac:dyDescent="0.25">
      <c r="A50" s="23">
        <v>46204</v>
      </c>
      <c r="B50" s="6" t="s">
        <v>88</v>
      </c>
      <c r="C50" s="19">
        <v>8</v>
      </c>
    </row>
    <row r="51" spans="1:3" x14ac:dyDescent="0.25">
      <c r="A51" s="16">
        <v>46204</v>
      </c>
      <c r="B51" s="6" t="s">
        <v>112</v>
      </c>
      <c r="C51" s="19">
        <v>220.75</v>
      </c>
    </row>
    <row r="52" spans="1:3" x14ac:dyDescent="0.25">
      <c r="A52" s="23">
        <v>46204</v>
      </c>
      <c r="B52" s="6" t="s">
        <v>113</v>
      </c>
      <c r="C52" s="19">
        <v>8</v>
      </c>
    </row>
    <row r="53" spans="1:3" x14ac:dyDescent="0.25">
      <c r="A53" s="16">
        <v>46204</v>
      </c>
      <c r="B53" s="6" t="s">
        <v>92</v>
      </c>
      <c r="C53" s="19">
        <v>21</v>
      </c>
    </row>
    <row r="54" spans="1:3" x14ac:dyDescent="0.25">
      <c r="A54" s="23">
        <v>46204</v>
      </c>
      <c r="B54" s="6" t="s">
        <v>110</v>
      </c>
      <c r="C54" s="19">
        <v>218.25</v>
      </c>
    </row>
    <row r="55" spans="1:3" x14ac:dyDescent="0.25">
      <c r="A55" s="16">
        <v>46204</v>
      </c>
      <c r="B55" s="6" t="s">
        <v>111</v>
      </c>
      <c r="C55" s="19">
        <v>489</v>
      </c>
    </row>
    <row r="56" spans="1:3" x14ac:dyDescent="0.25">
      <c r="A56" s="23">
        <v>46204</v>
      </c>
      <c r="B56" s="6" t="s">
        <v>32</v>
      </c>
      <c r="C56" s="19">
        <v>905.75</v>
      </c>
    </row>
    <row r="57" spans="1:3" x14ac:dyDescent="0.25">
      <c r="A57" s="16">
        <v>46235</v>
      </c>
      <c r="B57" s="22" t="s">
        <v>88</v>
      </c>
      <c r="C57">
        <v>20.333333333333332</v>
      </c>
    </row>
    <row r="58" spans="1:3" x14ac:dyDescent="0.25">
      <c r="A58" s="16">
        <v>46235</v>
      </c>
      <c r="B58" s="22" t="s">
        <v>89</v>
      </c>
      <c r="C58">
        <v>2</v>
      </c>
    </row>
    <row r="59" spans="1:3" x14ac:dyDescent="0.25">
      <c r="A59" s="16">
        <v>46235</v>
      </c>
      <c r="B59" t="s">
        <v>114</v>
      </c>
      <c r="C59">
        <v>1.5</v>
      </c>
    </row>
    <row r="60" spans="1:3" x14ac:dyDescent="0.25">
      <c r="A60" s="16">
        <v>46235</v>
      </c>
      <c r="B60" t="s">
        <v>115</v>
      </c>
      <c r="C60">
        <v>11.75</v>
      </c>
    </row>
    <row r="61" spans="1:3" x14ac:dyDescent="0.25">
      <c r="A61" s="16">
        <v>46235</v>
      </c>
      <c r="B61" t="s">
        <v>112</v>
      </c>
      <c r="C61">
        <v>149</v>
      </c>
    </row>
    <row r="62" spans="1:3" x14ac:dyDescent="0.25">
      <c r="A62" s="16">
        <v>46235</v>
      </c>
      <c r="B62" t="s">
        <v>116</v>
      </c>
      <c r="C62">
        <v>8</v>
      </c>
    </row>
    <row r="63" spans="1:3" x14ac:dyDescent="0.25">
      <c r="A63" s="16">
        <v>46235</v>
      </c>
      <c r="B63" t="s">
        <v>117</v>
      </c>
      <c r="C63">
        <v>24</v>
      </c>
    </row>
    <row r="64" spans="1:3" x14ac:dyDescent="0.25">
      <c r="A64" s="16">
        <v>46235</v>
      </c>
      <c r="B64" t="s">
        <v>91</v>
      </c>
      <c r="C64">
        <v>41.583333333333336</v>
      </c>
    </row>
    <row r="65" spans="1:3" x14ac:dyDescent="0.25">
      <c r="A65" s="16">
        <v>46235</v>
      </c>
      <c r="B65" t="s">
        <v>118</v>
      </c>
      <c r="C65">
        <v>1</v>
      </c>
    </row>
    <row r="66" spans="1:3" x14ac:dyDescent="0.25">
      <c r="A66" s="16">
        <v>46235</v>
      </c>
      <c r="B66" t="s">
        <v>85</v>
      </c>
      <c r="C66">
        <v>88</v>
      </c>
    </row>
    <row r="67" spans="1:3" x14ac:dyDescent="0.25">
      <c r="A67" s="16">
        <v>46235</v>
      </c>
      <c r="B67" t="s">
        <v>111</v>
      </c>
      <c r="C67">
        <v>345.75</v>
      </c>
    </row>
    <row r="68" spans="1:3" x14ac:dyDescent="0.25">
      <c r="A68" s="16">
        <v>46235</v>
      </c>
      <c r="B68" t="s">
        <v>32</v>
      </c>
      <c r="C68">
        <v>1012.5</v>
      </c>
    </row>
    <row r="69" spans="1:3" x14ac:dyDescent="0.25">
      <c r="A69" s="16">
        <v>46266</v>
      </c>
      <c r="B69" s="16" t="s">
        <v>88</v>
      </c>
      <c r="C69" s="29">
        <v>56</v>
      </c>
    </row>
    <row r="70" spans="1:3" x14ac:dyDescent="0.25">
      <c r="A70" s="16">
        <v>46266</v>
      </c>
      <c r="B70" s="16" t="s">
        <v>125</v>
      </c>
      <c r="C70" s="29">
        <v>1.5</v>
      </c>
    </row>
    <row r="71" spans="1:3" x14ac:dyDescent="0.25">
      <c r="A71" s="16">
        <v>46266</v>
      </c>
      <c r="B71" s="16" t="s">
        <v>126</v>
      </c>
      <c r="C71" s="29">
        <v>7</v>
      </c>
    </row>
    <row r="72" spans="1:3" x14ac:dyDescent="0.25">
      <c r="A72" s="16">
        <v>46266</v>
      </c>
      <c r="B72" s="16" t="s">
        <v>91</v>
      </c>
      <c r="C72" s="29">
        <v>229.83333333333334</v>
      </c>
    </row>
    <row r="73" spans="1:3" x14ac:dyDescent="0.25">
      <c r="A73" s="16">
        <v>46266</v>
      </c>
      <c r="B73" s="16" t="s">
        <v>127</v>
      </c>
      <c r="C73" s="29">
        <v>50.666666666666664</v>
      </c>
    </row>
    <row r="74" spans="1:3" x14ac:dyDescent="0.25">
      <c r="A74" s="16">
        <v>46266</v>
      </c>
      <c r="B74" s="16" t="s">
        <v>92</v>
      </c>
      <c r="C74" s="29">
        <v>16</v>
      </c>
    </row>
    <row r="75" spans="1:3" x14ac:dyDescent="0.25">
      <c r="A75" s="16">
        <v>46266</v>
      </c>
      <c r="B75" s="16" t="s">
        <v>110</v>
      </c>
      <c r="C75" s="29">
        <v>48</v>
      </c>
    </row>
    <row r="76" spans="1:3" x14ac:dyDescent="0.25">
      <c r="A76" s="16">
        <v>46266</v>
      </c>
      <c r="B76" s="16" t="s">
        <v>128</v>
      </c>
      <c r="C76" s="29">
        <v>5.25</v>
      </c>
    </row>
    <row r="77" spans="1:3" x14ac:dyDescent="0.25">
      <c r="A77" s="16">
        <v>46266</v>
      </c>
      <c r="B77" s="16" t="s">
        <v>129</v>
      </c>
      <c r="C77" s="29">
        <v>32</v>
      </c>
    </row>
    <row r="78" spans="1:3" x14ac:dyDescent="0.25">
      <c r="A78" s="16">
        <v>46266</v>
      </c>
      <c r="B78" s="16" t="s">
        <v>130</v>
      </c>
      <c r="C78" s="29">
        <v>72</v>
      </c>
    </row>
    <row r="79" spans="1:3" x14ac:dyDescent="0.25">
      <c r="A79" s="16">
        <v>46266</v>
      </c>
      <c r="B79" s="16" t="s">
        <v>103</v>
      </c>
      <c r="C79" s="29">
        <v>25</v>
      </c>
    </row>
    <row r="80" spans="1:3" x14ac:dyDescent="0.25">
      <c r="A80" s="16">
        <v>46266</v>
      </c>
      <c r="B80" s="16" t="s">
        <v>131</v>
      </c>
      <c r="C80" s="29">
        <v>3</v>
      </c>
    </row>
    <row r="81" spans="1:3" x14ac:dyDescent="0.25">
      <c r="A81" s="16">
        <v>46266</v>
      </c>
      <c r="B81" s="16" t="s">
        <v>111</v>
      </c>
      <c r="C81" s="29">
        <v>812.75</v>
      </c>
    </row>
    <row r="82" spans="1:3" x14ac:dyDescent="0.25">
      <c r="A82" s="16">
        <v>46266</v>
      </c>
      <c r="B82" s="16" t="s">
        <v>132</v>
      </c>
      <c r="C82" s="29">
        <v>132.78333333333333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showGridLines="0" tabSelected="1" topLeftCell="A40" workbookViewId="0">
      <selection activeCell="D45" sqref="D45:E52"/>
    </sheetView>
  </sheetViews>
  <sheetFormatPr defaultRowHeight="15" x14ac:dyDescent="0.25"/>
  <cols>
    <col min="1" max="2" width="16.5703125" customWidth="1"/>
    <col min="3" max="3" width="25.7109375" customWidth="1"/>
    <col min="4" max="4" width="17" customWidth="1"/>
    <col min="5" max="7" width="27" customWidth="1"/>
    <col min="8" max="8" width="18.5703125" customWidth="1"/>
    <col min="9" max="9" width="22" customWidth="1"/>
    <col min="10" max="10" width="28.28515625" customWidth="1"/>
    <col min="11" max="11" width="22.28515625" customWidth="1"/>
    <col min="12" max="12" width="34.5703125" customWidth="1"/>
    <col min="13" max="13" width="23.7109375" customWidth="1"/>
    <col min="14" max="14" width="15.5703125" customWidth="1"/>
    <col min="15" max="15" width="12.28515625" customWidth="1"/>
    <col min="16" max="16" width="17.7109375" customWidth="1"/>
  </cols>
  <sheetData>
    <row r="1" spans="1:5" x14ac:dyDescent="0.25">
      <c r="A1" s="3" t="s">
        <v>0</v>
      </c>
      <c r="B1" s="5" t="s">
        <v>2</v>
      </c>
      <c r="C1" s="5" t="s">
        <v>19</v>
      </c>
      <c r="D1" s="5" t="s">
        <v>17</v>
      </c>
      <c r="E1" s="5" t="s">
        <v>18</v>
      </c>
    </row>
    <row r="2" spans="1:5" x14ac:dyDescent="0.25">
      <c r="A2" s="14">
        <v>46114</v>
      </c>
      <c r="B2" s="10" t="s">
        <v>20</v>
      </c>
      <c r="C2" s="8">
        <v>8.423</v>
      </c>
      <c r="D2" s="10" t="s">
        <v>21</v>
      </c>
      <c r="E2" s="8">
        <v>2.41</v>
      </c>
    </row>
    <row r="3" spans="1:5" x14ac:dyDescent="0.25">
      <c r="A3" s="14">
        <v>46114</v>
      </c>
      <c r="B3" s="10" t="s">
        <v>22</v>
      </c>
      <c r="C3" s="8">
        <v>1.575</v>
      </c>
      <c r="D3" s="10" t="s">
        <v>23</v>
      </c>
      <c r="E3" s="8">
        <v>0.36499999999999999</v>
      </c>
    </row>
    <row r="4" spans="1:5" x14ac:dyDescent="0.25">
      <c r="A4" s="14">
        <v>46114</v>
      </c>
      <c r="B4" s="10" t="s">
        <v>24</v>
      </c>
      <c r="C4" s="8">
        <v>1.8640000000000001</v>
      </c>
      <c r="D4" s="10" t="s">
        <v>25</v>
      </c>
      <c r="E4" s="8">
        <v>28.86</v>
      </c>
    </row>
    <row r="5" spans="1:5" x14ac:dyDescent="0.25">
      <c r="A5" s="14">
        <v>46114</v>
      </c>
      <c r="B5" s="10" t="s">
        <v>26</v>
      </c>
      <c r="C5" s="8">
        <v>3.161</v>
      </c>
      <c r="D5" s="10" t="s">
        <v>27</v>
      </c>
      <c r="E5" s="8">
        <v>15.125</v>
      </c>
    </row>
    <row r="6" spans="1:5" x14ac:dyDescent="0.25">
      <c r="A6" s="14">
        <v>46114</v>
      </c>
      <c r="B6" s="10" t="s">
        <v>3</v>
      </c>
      <c r="C6" s="8">
        <v>23.373000000000001</v>
      </c>
      <c r="D6" s="10" t="s">
        <v>28</v>
      </c>
      <c r="E6" s="8">
        <v>6.7210000000000001</v>
      </c>
    </row>
    <row r="7" spans="1:5" x14ac:dyDescent="0.25">
      <c r="A7" s="14">
        <v>46114</v>
      </c>
      <c r="B7" s="10" t="s">
        <v>4</v>
      </c>
      <c r="C7" s="8">
        <v>32.045999999999999</v>
      </c>
      <c r="D7" s="10" t="s">
        <v>29</v>
      </c>
      <c r="E7" s="8">
        <v>2.8</v>
      </c>
    </row>
    <row r="8" spans="1:5" x14ac:dyDescent="0.25">
      <c r="A8" s="14">
        <v>46114</v>
      </c>
      <c r="B8" s="10" t="s">
        <v>30</v>
      </c>
      <c r="C8" s="8">
        <v>20.177</v>
      </c>
      <c r="D8" s="10" t="s">
        <v>31</v>
      </c>
      <c r="E8" s="8">
        <v>4.6340000000000003</v>
      </c>
    </row>
    <row r="9" spans="1:5" x14ac:dyDescent="0.25">
      <c r="A9" s="15">
        <v>46114</v>
      </c>
      <c r="B9" s="17" t="s">
        <v>5</v>
      </c>
      <c r="C9" s="13">
        <v>2.6739999999999999</v>
      </c>
      <c r="D9" s="17" t="s">
        <v>32</v>
      </c>
      <c r="E9" s="13">
        <v>1.504</v>
      </c>
    </row>
    <row r="10" spans="1:5" x14ac:dyDescent="0.25">
      <c r="A10" s="16">
        <v>46144</v>
      </c>
      <c r="B10" s="6" t="s">
        <v>20</v>
      </c>
      <c r="C10" s="2">
        <v>12.834</v>
      </c>
      <c r="D10" t="s">
        <v>21</v>
      </c>
      <c r="E10">
        <v>6.57</v>
      </c>
    </row>
    <row r="11" spans="1:5" x14ac:dyDescent="0.25">
      <c r="A11" s="16">
        <v>46144</v>
      </c>
      <c r="B11" s="6" t="s">
        <v>26</v>
      </c>
      <c r="C11" s="2">
        <v>10.015000000000001</v>
      </c>
      <c r="D11" t="s">
        <v>23</v>
      </c>
      <c r="E11">
        <v>1.633</v>
      </c>
    </row>
    <row r="12" spans="1:5" x14ac:dyDescent="0.25">
      <c r="A12" s="16">
        <v>46144</v>
      </c>
      <c r="B12" s="6" t="s">
        <v>3</v>
      </c>
      <c r="C12" s="2">
        <v>18.009</v>
      </c>
      <c r="D12" t="s">
        <v>25</v>
      </c>
      <c r="E12">
        <v>35.237000000000002</v>
      </c>
    </row>
    <row r="13" spans="1:5" x14ac:dyDescent="0.25">
      <c r="A13" s="16">
        <v>46144</v>
      </c>
      <c r="B13" s="6" t="s">
        <v>4</v>
      </c>
      <c r="C13" s="2">
        <v>47.649000000000001</v>
      </c>
      <c r="D13" t="s">
        <v>27</v>
      </c>
      <c r="E13">
        <v>41.093000000000004</v>
      </c>
    </row>
    <row r="14" spans="1:5" x14ac:dyDescent="0.25">
      <c r="A14" s="16">
        <v>46144</v>
      </c>
      <c r="B14" s="6" t="s">
        <v>30</v>
      </c>
      <c r="C14" s="2">
        <v>18.863</v>
      </c>
      <c r="D14" t="s">
        <v>28</v>
      </c>
      <c r="E14">
        <v>41.735999999999997</v>
      </c>
    </row>
    <row r="15" spans="1:5" x14ac:dyDescent="0.25">
      <c r="A15" s="16">
        <v>46144</v>
      </c>
      <c r="B15" s="6" t="s">
        <v>7</v>
      </c>
      <c r="C15" s="2">
        <v>10.577</v>
      </c>
      <c r="D15" t="s">
        <v>29</v>
      </c>
      <c r="E15">
        <v>3.45</v>
      </c>
    </row>
    <row r="16" spans="1:5" x14ac:dyDescent="0.25">
      <c r="A16" s="16">
        <v>46144</v>
      </c>
      <c r="D16" t="s">
        <v>31</v>
      </c>
      <c r="E16">
        <v>18.071999999999999</v>
      </c>
    </row>
    <row r="17" spans="1:5" x14ac:dyDescent="0.25">
      <c r="A17" s="15">
        <v>46144</v>
      </c>
      <c r="B17" s="12"/>
      <c r="C17" s="12"/>
      <c r="D17" s="12" t="s">
        <v>32</v>
      </c>
      <c r="E17" s="12">
        <v>1.3260000000000001</v>
      </c>
    </row>
    <row r="18" spans="1:5" x14ac:dyDescent="0.25">
      <c r="A18" s="16">
        <v>46174</v>
      </c>
      <c r="B18" s="6" t="s">
        <v>20</v>
      </c>
      <c r="C18">
        <v>16.193999999999999</v>
      </c>
      <c r="D18" s="6" t="s">
        <v>21</v>
      </c>
      <c r="E18" s="2">
        <v>1.1240000000000001</v>
      </c>
    </row>
    <row r="19" spans="1:5" x14ac:dyDescent="0.25">
      <c r="A19" s="16">
        <v>46174</v>
      </c>
      <c r="B19" s="6" t="s">
        <v>22</v>
      </c>
      <c r="C19">
        <v>0.25700000000000001</v>
      </c>
      <c r="D19" s="6" t="s">
        <v>23</v>
      </c>
      <c r="E19" s="2">
        <v>11.414</v>
      </c>
    </row>
    <row r="20" spans="1:5" x14ac:dyDescent="0.25">
      <c r="A20" s="16">
        <v>46174</v>
      </c>
      <c r="B20" s="6" t="s">
        <v>33</v>
      </c>
      <c r="C20">
        <v>3.0430000000000001</v>
      </c>
      <c r="D20" s="6" t="s">
        <v>25</v>
      </c>
      <c r="E20" s="2">
        <v>38.012999999999998</v>
      </c>
    </row>
    <row r="21" spans="1:5" x14ac:dyDescent="0.25">
      <c r="A21" s="16">
        <v>46174</v>
      </c>
      <c r="B21" s="6" t="s">
        <v>24</v>
      </c>
      <c r="C21">
        <v>5.7389999999999999</v>
      </c>
      <c r="D21" s="6" t="s">
        <v>27</v>
      </c>
      <c r="E21" s="2">
        <v>36.918999999999997</v>
      </c>
    </row>
    <row r="22" spans="1:5" x14ac:dyDescent="0.25">
      <c r="A22" s="16">
        <v>46174</v>
      </c>
      <c r="B22" s="6" t="s">
        <v>26</v>
      </c>
      <c r="C22">
        <v>5.0460000000000003</v>
      </c>
      <c r="D22" s="6" t="s">
        <v>28</v>
      </c>
      <c r="E22" s="2">
        <v>53.063000000000002</v>
      </c>
    </row>
    <row r="23" spans="1:5" x14ac:dyDescent="0.25">
      <c r="A23" s="16">
        <v>46174</v>
      </c>
      <c r="B23" s="6" t="s">
        <v>3</v>
      </c>
      <c r="C23">
        <v>34.177999999999997</v>
      </c>
      <c r="D23" s="6" t="s">
        <v>29</v>
      </c>
      <c r="E23" s="2">
        <v>3.2749999999999999</v>
      </c>
    </row>
    <row r="24" spans="1:5" x14ac:dyDescent="0.25">
      <c r="A24" s="16">
        <v>46174</v>
      </c>
      <c r="B24" s="6" t="s">
        <v>4</v>
      </c>
      <c r="C24">
        <v>51.545999999999999</v>
      </c>
      <c r="D24" s="6" t="s">
        <v>34</v>
      </c>
      <c r="E24" s="2">
        <v>38.856999999999999</v>
      </c>
    </row>
    <row r="25" spans="1:5" x14ac:dyDescent="0.25">
      <c r="A25" s="16">
        <v>46174</v>
      </c>
      <c r="B25" s="6" t="s">
        <v>5</v>
      </c>
      <c r="C25">
        <v>5.9249999999999998</v>
      </c>
      <c r="D25" s="6" t="s">
        <v>31</v>
      </c>
      <c r="E25" s="2">
        <v>0.20599999999999999</v>
      </c>
    </row>
    <row r="26" spans="1:5" x14ac:dyDescent="0.25">
      <c r="A26" s="15">
        <v>46174</v>
      </c>
      <c r="B26" s="17" t="s">
        <v>7</v>
      </c>
      <c r="C26" s="12">
        <v>34.524999999999999</v>
      </c>
      <c r="D26" s="17" t="s">
        <v>32</v>
      </c>
      <c r="E26" s="13">
        <v>2.573</v>
      </c>
    </row>
    <row r="27" spans="1:5" x14ac:dyDescent="0.25">
      <c r="A27" s="16">
        <v>46204</v>
      </c>
      <c r="B27" t="s">
        <v>20</v>
      </c>
      <c r="C27">
        <v>14.675000000000001</v>
      </c>
      <c r="D27" s="6" t="s">
        <v>21</v>
      </c>
      <c r="E27" s="2">
        <v>0.49399999999999999</v>
      </c>
    </row>
    <row r="28" spans="1:5" x14ac:dyDescent="0.25">
      <c r="A28" s="16">
        <v>46204</v>
      </c>
      <c r="B28" t="s">
        <v>33</v>
      </c>
      <c r="C28">
        <v>3.399</v>
      </c>
      <c r="D28" s="6" t="s">
        <v>23</v>
      </c>
      <c r="E28" s="2">
        <v>7.05</v>
      </c>
    </row>
    <row r="29" spans="1:5" x14ac:dyDescent="0.25">
      <c r="A29" s="16">
        <v>46204</v>
      </c>
      <c r="B29" t="s">
        <v>24</v>
      </c>
      <c r="C29">
        <v>2.9369999999999998</v>
      </c>
      <c r="D29" s="6" t="s">
        <v>25</v>
      </c>
      <c r="E29" s="2">
        <v>67.522000000000006</v>
      </c>
    </row>
    <row r="30" spans="1:5" x14ac:dyDescent="0.25">
      <c r="A30" s="16">
        <v>46204</v>
      </c>
      <c r="B30" t="s">
        <v>26</v>
      </c>
      <c r="C30">
        <v>2.9940000000000002</v>
      </c>
      <c r="D30" s="6" t="s">
        <v>27</v>
      </c>
      <c r="E30" s="2">
        <v>7.0970000000000004</v>
      </c>
    </row>
    <row r="31" spans="1:5" x14ac:dyDescent="0.25">
      <c r="A31" s="16">
        <v>46204</v>
      </c>
      <c r="B31" t="s">
        <v>3</v>
      </c>
      <c r="C31">
        <v>31.167000000000002</v>
      </c>
      <c r="D31" s="6" t="s">
        <v>28</v>
      </c>
      <c r="E31" s="2">
        <v>0.47</v>
      </c>
    </row>
    <row r="32" spans="1:5" x14ac:dyDescent="0.25">
      <c r="A32" s="16">
        <v>46204</v>
      </c>
      <c r="B32" t="s">
        <v>4</v>
      </c>
      <c r="C32">
        <v>47.124000000000002</v>
      </c>
      <c r="D32" s="6" t="s">
        <v>29</v>
      </c>
      <c r="E32" s="2">
        <v>2.5249999999999999</v>
      </c>
    </row>
    <row r="33" spans="1:5" x14ac:dyDescent="0.25">
      <c r="A33" s="16">
        <v>46204</v>
      </c>
      <c r="B33" t="s">
        <v>30</v>
      </c>
      <c r="C33">
        <v>25.016999999999999</v>
      </c>
      <c r="D33" s="6" t="s">
        <v>34</v>
      </c>
      <c r="E33" s="2">
        <v>20.873999999999999</v>
      </c>
    </row>
    <row r="34" spans="1:5" x14ac:dyDescent="0.25">
      <c r="A34" s="16">
        <v>46204</v>
      </c>
      <c r="B34" t="s">
        <v>5</v>
      </c>
      <c r="C34">
        <v>3.472</v>
      </c>
      <c r="D34" s="6" t="s">
        <v>31</v>
      </c>
      <c r="E34" s="2">
        <v>0.97799999999999998</v>
      </c>
    </row>
    <row r="35" spans="1:5" x14ac:dyDescent="0.25">
      <c r="A35" s="15">
        <v>46204</v>
      </c>
      <c r="B35" s="12"/>
      <c r="C35" s="12"/>
      <c r="D35" s="17" t="s">
        <v>32</v>
      </c>
      <c r="E35" s="13">
        <v>2.5950000000000002</v>
      </c>
    </row>
    <row r="36" spans="1:5" x14ac:dyDescent="0.25">
      <c r="A36" s="16">
        <v>46235</v>
      </c>
      <c r="B36" s="2" t="s">
        <v>35</v>
      </c>
      <c r="C36" s="2">
        <v>5.1070000000000002</v>
      </c>
      <c r="D36" s="6" t="s">
        <v>21</v>
      </c>
      <c r="E36" s="2">
        <v>1.7689999999999999</v>
      </c>
    </row>
    <row r="37" spans="1:5" x14ac:dyDescent="0.25">
      <c r="A37" s="16">
        <v>46235</v>
      </c>
      <c r="B37" s="2" t="s">
        <v>20</v>
      </c>
      <c r="C37" s="2">
        <v>16.651</v>
      </c>
      <c r="D37" s="6" t="s">
        <v>23</v>
      </c>
      <c r="E37" s="2">
        <v>6.6619999999999999</v>
      </c>
    </row>
    <row r="38" spans="1:5" x14ac:dyDescent="0.25">
      <c r="A38" s="16">
        <v>46235</v>
      </c>
      <c r="B38" s="2" t="s">
        <v>33</v>
      </c>
      <c r="C38" s="2">
        <v>2.4729999999999999</v>
      </c>
      <c r="D38" s="6" t="s">
        <v>25</v>
      </c>
      <c r="E38" s="2">
        <v>64.466999999999999</v>
      </c>
    </row>
    <row r="39" spans="1:5" x14ac:dyDescent="0.25">
      <c r="A39" s="16">
        <v>46235</v>
      </c>
      <c r="B39" s="2" t="s">
        <v>26</v>
      </c>
      <c r="C39" s="2">
        <v>2.5430000000000001</v>
      </c>
      <c r="D39" s="6" t="s">
        <v>27</v>
      </c>
      <c r="E39" s="2">
        <v>20.652000000000001</v>
      </c>
    </row>
    <row r="40" spans="1:5" x14ac:dyDescent="0.25">
      <c r="A40" s="16">
        <v>46235</v>
      </c>
      <c r="B40" s="2" t="s">
        <v>36</v>
      </c>
      <c r="C40" s="2">
        <v>18.385000000000002</v>
      </c>
      <c r="D40" s="6" t="s">
        <v>29</v>
      </c>
      <c r="E40" s="2">
        <v>2.125</v>
      </c>
    </row>
    <row r="41" spans="1:5" x14ac:dyDescent="0.25">
      <c r="A41" s="16">
        <v>46235</v>
      </c>
      <c r="B41" s="2" t="s">
        <v>3</v>
      </c>
      <c r="C41" s="2">
        <v>13.262</v>
      </c>
      <c r="D41" s="6" t="s">
        <v>31</v>
      </c>
      <c r="E41" s="2">
        <v>27.701000000000001</v>
      </c>
    </row>
    <row r="42" spans="1:5" x14ac:dyDescent="0.25">
      <c r="A42" s="16">
        <v>46235</v>
      </c>
      <c r="B42" s="2" t="s">
        <v>4</v>
      </c>
      <c r="C42" s="2">
        <v>50.124000000000002</v>
      </c>
      <c r="D42" s="6" t="s">
        <v>32</v>
      </c>
      <c r="E42" s="2">
        <v>1.0529999999999999</v>
      </c>
    </row>
    <row r="43" spans="1:5" x14ac:dyDescent="0.25">
      <c r="A43" s="16">
        <v>46235</v>
      </c>
      <c r="B43" s="2" t="s">
        <v>30</v>
      </c>
      <c r="C43" s="2">
        <v>10.863</v>
      </c>
      <c r="D43" s="2"/>
      <c r="E43" s="2"/>
    </row>
    <row r="44" spans="1:5" x14ac:dyDescent="0.25">
      <c r="A44" s="15">
        <v>46235</v>
      </c>
      <c r="B44" s="13" t="s">
        <v>7</v>
      </c>
      <c r="C44" s="13">
        <v>15.555</v>
      </c>
      <c r="D44" s="13"/>
      <c r="E44" s="13"/>
    </row>
    <row r="45" spans="1:5" x14ac:dyDescent="0.25">
      <c r="A45" s="16">
        <v>46266</v>
      </c>
      <c r="B45" s="2" t="s">
        <v>35</v>
      </c>
      <c r="C45" s="2">
        <v>15.359</v>
      </c>
      <c r="D45" s="2" t="s">
        <v>21</v>
      </c>
      <c r="E45" s="2">
        <v>0.46200000000000002</v>
      </c>
    </row>
    <row r="46" spans="1:5" x14ac:dyDescent="0.25">
      <c r="A46" s="16">
        <v>46266</v>
      </c>
      <c r="B46" s="2" t="s">
        <v>20</v>
      </c>
      <c r="C46" s="2">
        <v>11.17</v>
      </c>
      <c r="D46" s="2" t="s">
        <v>23</v>
      </c>
      <c r="E46" s="2">
        <v>1.6120000000000001</v>
      </c>
    </row>
    <row r="47" spans="1:5" x14ac:dyDescent="0.25">
      <c r="A47" s="16">
        <v>46266</v>
      </c>
      <c r="B47" s="2" t="s">
        <v>33</v>
      </c>
      <c r="C47" s="2">
        <v>2.8109999999999999</v>
      </c>
      <c r="D47" s="2" t="s">
        <v>25</v>
      </c>
      <c r="E47" s="2">
        <v>29.055</v>
      </c>
    </row>
    <row r="48" spans="1:5" x14ac:dyDescent="0.25">
      <c r="A48" s="16">
        <v>46266</v>
      </c>
      <c r="B48" s="2" t="s">
        <v>24</v>
      </c>
      <c r="C48" s="2">
        <v>2.2879999999999998</v>
      </c>
      <c r="D48" s="2" t="s">
        <v>27</v>
      </c>
      <c r="E48" s="2">
        <v>69.180999999999997</v>
      </c>
    </row>
    <row r="49" spans="1:5" x14ac:dyDescent="0.25">
      <c r="A49" s="16">
        <v>46266</v>
      </c>
      <c r="B49" s="2" t="s">
        <v>26</v>
      </c>
      <c r="C49" s="2">
        <v>3.536</v>
      </c>
      <c r="D49" s="2" t="s">
        <v>29</v>
      </c>
      <c r="E49" s="2">
        <v>9.625</v>
      </c>
    </row>
    <row r="50" spans="1:5" x14ac:dyDescent="0.25">
      <c r="A50" s="16">
        <v>46266</v>
      </c>
      <c r="B50" s="2" t="s">
        <v>36</v>
      </c>
      <c r="C50" s="2">
        <v>3.9670000000000001</v>
      </c>
      <c r="D50" s="2" t="s">
        <v>34</v>
      </c>
      <c r="E50" s="2">
        <v>22.588999999999999</v>
      </c>
    </row>
    <row r="51" spans="1:5" x14ac:dyDescent="0.25">
      <c r="A51" s="16">
        <v>46266</v>
      </c>
      <c r="B51" s="2" t="s">
        <v>3</v>
      </c>
      <c r="C51" s="2">
        <v>32.311</v>
      </c>
      <c r="D51" s="2" t="s">
        <v>31</v>
      </c>
      <c r="E51" s="2">
        <v>2.1000000000000001E-2</v>
      </c>
    </row>
    <row r="52" spans="1:5" x14ac:dyDescent="0.25">
      <c r="A52" s="16">
        <v>46266</v>
      </c>
      <c r="B52" s="2" t="s">
        <v>124</v>
      </c>
      <c r="C52" s="2">
        <v>16.420000000000002</v>
      </c>
      <c r="D52" s="2" t="s">
        <v>32</v>
      </c>
      <c r="E52" s="2">
        <v>3.899</v>
      </c>
    </row>
    <row r="53" spans="1:5" x14ac:dyDescent="0.25">
      <c r="A53" s="16">
        <v>46266</v>
      </c>
      <c r="B53" s="2" t="s">
        <v>4</v>
      </c>
      <c r="C53" s="2">
        <v>46.246000000000002</v>
      </c>
      <c r="D53" s="2"/>
      <c r="E53" s="2"/>
    </row>
    <row r="54" spans="1:5" x14ac:dyDescent="0.25">
      <c r="A54" s="16">
        <v>46266</v>
      </c>
      <c r="B54" s="2" t="s">
        <v>5</v>
      </c>
      <c r="C54" s="2">
        <v>16.199000000000002</v>
      </c>
      <c r="D54" s="2"/>
      <c r="E54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2"/>
  <sheetViews>
    <sheetView showGridLines="0" topLeftCell="A201" workbookViewId="0">
      <selection activeCell="B186" sqref="B186:C222"/>
    </sheetView>
  </sheetViews>
  <sheetFormatPr defaultRowHeight="15" x14ac:dyDescent="0.25"/>
  <cols>
    <col min="1" max="1" width="17.5703125" customWidth="1"/>
    <col min="2" max="2" width="30.85546875" customWidth="1"/>
    <col min="3" max="3" width="31" customWidth="1"/>
    <col min="10" max="10" width="27.140625" customWidth="1"/>
  </cols>
  <sheetData>
    <row r="1" spans="1:6" x14ac:dyDescent="0.25">
      <c r="A1" t="s">
        <v>0</v>
      </c>
      <c r="B1" t="s">
        <v>38</v>
      </c>
      <c r="C1" t="s">
        <v>72</v>
      </c>
    </row>
    <row r="2" spans="1:6" x14ac:dyDescent="0.25">
      <c r="A2" s="20">
        <v>46113</v>
      </c>
      <c r="B2" s="6" t="s">
        <v>120</v>
      </c>
      <c r="C2">
        <v>41.838999999999999</v>
      </c>
    </row>
    <row r="3" spans="1:6" x14ac:dyDescent="0.25">
      <c r="A3" s="20">
        <v>46113</v>
      </c>
      <c r="B3" s="6" t="s">
        <v>121</v>
      </c>
      <c r="C3">
        <v>17.361000000000001</v>
      </c>
    </row>
    <row r="4" spans="1:6" x14ac:dyDescent="0.25">
      <c r="A4" s="20">
        <v>46113</v>
      </c>
      <c r="B4" s="6" t="s">
        <v>122</v>
      </c>
      <c r="C4">
        <v>36.664999999999999</v>
      </c>
      <c r="F4" s="6"/>
    </row>
    <row r="5" spans="1:6" x14ac:dyDescent="0.25">
      <c r="A5" s="20">
        <v>46113</v>
      </c>
      <c r="B5" s="6" t="s">
        <v>123</v>
      </c>
      <c r="C5">
        <v>15.259</v>
      </c>
      <c r="F5" s="6"/>
    </row>
    <row r="6" spans="1:6" x14ac:dyDescent="0.25">
      <c r="A6" s="20">
        <v>46113</v>
      </c>
      <c r="B6" s="6" t="s">
        <v>39</v>
      </c>
      <c r="C6">
        <v>1.8640000000000001</v>
      </c>
      <c r="F6" s="6"/>
    </row>
    <row r="7" spans="1:6" x14ac:dyDescent="0.25">
      <c r="A7" s="20">
        <v>46113</v>
      </c>
      <c r="B7" s="6" t="s">
        <v>40</v>
      </c>
      <c r="C7">
        <v>8.84</v>
      </c>
      <c r="F7" s="6"/>
    </row>
    <row r="8" spans="1:6" x14ac:dyDescent="0.25">
      <c r="A8" s="20">
        <v>46113</v>
      </c>
      <c r="B8" s="6" t="s">
        <v>41</v>
      </c>
      <c r="C8">
        <v>9.2550000000000008</v>
      </c>
      <c r="F8" s="6"/>
    </row>
    <row r="9" spans="1:6" x14ac:dyDescent="0.25">
      <c r="A9" s="20">
        <v>46113</v>
      </c>
      <c r="B9" s="6" t="s">
        <v>42</v>
      </c>
      <c r="C9">
        <v>6.9130000000000003</v>
      </c>
      <c r="F9" s="6"/>
    </row>
    <row r="10" spans="1:6" x14ac:dyDescent="0.25">
      <c r="A10" s="20">
        <v>46113</v>
      </c>
      <c r="B10" s="6" t="s">
        <v>43</v>
      </c>
      <c r="C10">
        <v>23.413</v>
      </c>
      <c r="F10" s="6"/>
    </row>
    <row r="11" spans="1:6" x14ac:dyDescent="0.25">
      <c r="A11" s="20">
        <v>46113</v>
      </c>
      <c r="B11" s="6" t="s">
        <v>44</v>
      </c>
      <c r="C11">
        <v>0</v>
      </c>
      <c r="F11" s="6"/>
    </row>
    <row r="12" spans="1:6" x14ac:dyDescent="0.25">
      <c r="A12" s="20">
        <v>46113</v>
      </c>
      <c r="B12" s="6" t="s">
        <v>45</v>
      </c>
      <c r="C12">
        <v>3.484</v>
      </c>
    </row>
    <row r="13" spans="1:6" x14ac:dyDescent="0.25">
      <c r="A13" s="20">
        <v>46113</v>
      </c>
      <c r="B13" s="6" t="s">
        <v>46</v>
      </c>
      <c r="C13">
        <v>4.4509999999999996</v>
      </c>
    </row>
    <row r="14" spans="1:6" x14ac:dyDescent="0.25">
      <c r="A14" s="20">
        <v>46113</v>
      </c>
      <c r="B14" s="6" t="s">
        <v>47</v>
      </c>
      <c r="C14">
        <v>4.9290000000000003</v>
      </c>
    </row>
    <row r="15" spans="1:6" x14ac:dyDescent="0.25">
      <c r="A15" s="20">
        <v>46113</v>
      </c>
      <c r="B15" s="6" t="s">
        <v>48</v>
      </c>
      <c r="C15">
        <v>2.7519999999999998</v>
      </c>
    </row>
    <row r="16" spans="1:6" x14ac:dyDescent="0.25">
      <c r="A16" s="20">
        <v>46113</v>
      </c>
      <c r="B16" s="6" t="s">
        <v>49</v>
      </c>
      <c r="C16">
        <v>3.24</v>
      </c>
    </row>
    <row r="17" spans="1:13" x14ac:dyDescent="0.25">
      <c r="A17" s="20">
        <v>46113</v>
      </c>
      <c r="B17" s="6" t="s">
        <v>50</v>
      </c>
      <c r="C17">
        <v>2.198</v>
      </c>
    </row>
    <row r="18" spans="1:13" x14ac:dyDescent="0.25">
      <c r="A18" s="20">
        <v>46113</v>
      </c>
      <c r="B18" s="6" t="s">
        <v>51</v>
      </c>
      <c r="C18">
        <v>1.9450000000000001</v>
      </c>
    </row>
    <row r="19" spans="1:13" x14ac:dyDescent="0.25">
      <c r="A19" s="20">
        <v>46113</v>
      </c>
      <c r="B19" s="6" t="s">
        <v>52</v>
      </c>
      <c r="C19">
        <v>1.798</v>
      </c>
    </row>
    <row r="20" spans="1:13" x14ac:dyDescent="0.25">
      <c r="A20" s="20">
        <v>46113</v>
      </c>
      <c r="B20" s="6" t="s">
        <v>53</v>
      </c>
      <c r="C20">
        <v>0.499</v>
      </c>
    </row>
    <row r="21" spans="1:13" x14ac:dyDescent="0.25">
      <c r="A21" s="20">
        <v>46113</v>
      </c>
      <c r="B21" s="6" t="s">
        <v>54</v>
      </c>
      <c r="C21">
        <v>0.48699999999999999</v>
      </c>
    </row>
    <row r="22" spans="1:13" x14ac:dyDescent="0.25">
      <c r="A22" s="20">
        <v>46113</v>
      </c>
      <c r="B22" s="6" t="s">
        <v>55</v>
      </c>
      <c r="C22">
        <v>0</v>
      </c>
    </row>
    <row r="23" spans="1:13" x14ac:dyDescent="0.25">
      <c r="A23" s="20">
        <v>46113</v>
      </c>
      <c r="B23" s="6" t="s">
        <v>56</v>
      </c>
      <c r="C23">
        <v>0.50900000000000001</v>
      </c>
    </row>
    <row r="24" spans="1:13" x14ac:dyDescent="0.25">
      <c r="A24" s="20">
        <v>46113</v>
      </c>
      <c r="B24" s="6" t="s">
        <v>57</v>
      </c>
      <c r="C24">
        <v>0.51</v>
      </c>
    </row>
    <row r="25" spans="1:13" x14ac:dyDescent="0.25">
      <c r="A25" s="20">
        <v>46113</v>
      </c>
      <c r="B25" s="6" t="s">
        <v>58</v>
      </c>
      <c r="C25">
        <v>0.50800000000000001</v>
      </c>
    </row>
    <row r="26" spans="1:13" x14ac:dyDescent="0.25">
      <c r="A26" s="20">
        <v>46113</v>
      </c>
      <c r="B26" s="6" t="s">
        <v>59</v>
      </c>
      <c r="C26">
        <v>0.10199999999999999</v>
      </c>
    </row>
    <row r="27" spans="1:13" x14ac:dyDescent="0.25">
      <c r="A27" s="20">
        <v>46113</v>
      </c>
      <c r="B27" s="6" t="s">
        <v>60</v>
      </c>
      <c r="C27">
        <v>2.4820000000000002</v>
      </c>
    </row>
    <row r="28" spans="1:13" x14ac:dyDescent="0.25">
      <c r="A28" s="20">
        <v>46113</v>
      </c>
      <c r="B28" s="6" t="s">
        <v>61</v>
      </c>
      <c r="C28">
        <v>4.5170000000000003</v>
      </c>
      <c r="M28" s="6"/>
    </row>
    <row r="29" spans="1:13" x14ac:dyDescent="0.25">
      <c r="A29" s="20">
        <v>46113</v>
      </c>
      <c r="B29" s="6" t="s">
        <v>62</v>
      </c>
      <c r="C29">
        <v>7.0380000000000003</v>
      </c>
    </row>
    <row r="30" spans="1:13" x14ac:dyDescent="0.25">
      <c r="A30" s="20">
        <v>46113</v>
      </c>
      <c r="B30" s="6" t="s">
        <v>63</v>
      </c>
      <c r="C30">
        <v>2.121</v>
      </c>
    </row>
    <row r="31" spans="1:13" x14ac:dyDescent="0.25">
      <c r="A31" s="20">
        <v>46113</v>
      </c>
      <c r="B31" s="6" t="s">
        <v>64</v>
      </c>
      <c r="C31">
        <v>3.484</v>
      </c>
    </row>
    <row r="32" spans="1:13" x14ac:dyDescent="0.25">
      <c r="A32" s="20">
        <v>46113</v>
      </c>
      <c r="B32" s="6" t="s">
        <v>65</v>
      </c>
      <c r="C32">
        <v>25.152999999999999</v>
      </c>
    </row>
    <row r="33" spans="1:3" x14ac:dyDescent="0.25">
      <c r="A33" s="20">
        <v>46113</v>
      </c>
      <c r="B33" s="6" t="s">
        <v>66</v>
      </c>
      <c r="C33">
        <v>15.125</v>
      </c>
    </row>
    <row r="34" spans="1:3" x14ac:dyDescent="0.25">
      <c r="A34" s="20">
        <v>46113</v>
      </c>
      <c r="B34" s="6" t="s">
        <v>67</v>
      </c>
      <c r="C34">
        <v>8.3409999999999993</v>
      </c>
    </row>
    <row r="35" spans="1:3" x14ac:dyDescent="0.25">
      <c r="A35" s="20">
        <v>46113</v>
      </c>
      <c r="B35" s="6" t="s">
        <v>68</v>
      </c>
      <c r="C35">
        <v>0.79500000000000004</v>
      </c>
    </row>
    <row r="36" spans="1:3" x14ac:dyDescent="0.25">
      <c r="A36" s="20">
        <v>46113</v>
      </c>
      <c r="B36" s="6" t="s">
        <v>69</v>
      </c>
      <c r="C36">
        <v>6.7210000000000001</v>
      </c>
    </row>
    <row r="37" spans="1:3" x14ac:dyDescent="0.25">
      <c r="A37" s="20">
        <v>46113</v>
      </c>
      <c r="B37" s="6" t="s">
        <v>70</v>
      </c>
      <c r="C37">
        <v>0</v>
      </c>
    </row>
    <row r="38" spans="1:3" x14ac:dyDescent="0.25">
      <c r="A38" s="20">
        <v>46113</v>
      </c>
      <c r="B38" s="6" t="s">
        <v>71</v>
      </c>
      <c r="C38">
        <v>2.8</v>
      </c>
    </row>
    <row r="39" spans="1:3" x14ac:dyDescent="0.25">
      <c r="A39" s="20">
        <v>46143</v>
      </c>
      <c r="B39" s="6" t="s">
        <v>120</v>
      </c>
      <c r="C39">
        <v>45.283999999999999</v>
      </c>
    </row>
    <row r="40" spans="1:3" x14ac:dyDescent="0.25">
      <c r="A40" s="20">
        <v>46143</v>
      </c>
      <c r="B40" s="6" t="s">
        <v>121</v>
      </c>
      <c r="C40">
        <v>49.491999999999997</v>
      </c>
    </row>
    <row r="41" spans="1:3" x14ac:dyDescent="0.25">
      <c r="A41" s="20">
        <v>46143</v>
      </c>
      <c r="B41" s="6" t="s">
        <v>122</v>
      </c>
      <c r="C41">
        <v>54.933999999999997</v>
      </c>
    </row>
    <row r="42" spans="1:3" x14ac:dyDescent="0.25">
      <c r="A42" s="20">
        <v>46143</v>
      </c>
      <c r="B42" s="6" t="s">
        <v>123</v>
      </c>
      <c r="C42">
        <v>42.206000000000003</v>
      </c>
    </row>
    <row r="43" spans="1:3" x14ac:dyDescent="0.25">
      <c r="A43" s="20">
        <v>46143</v>
      </c>
      <c r="B43" s="6" t="s">
        <v>39</v>
      </c>
      <c r="C43">
        <v>0</v>
      </c>
    </row>
    <row r="44" spans="1:3" x14ac:dyDescent="0.25">
      <c r="A44" s="20">
        <v>46143</v>
      </c>
      <c r="B44" s="6" t="s">
        <v>40</v>
      </c>
      <c r="C44">
        <v>11.535</v>
      </c>
    </row>
    <row r="45" spans="1:3" x14ac:dyDescent="0.25">
      <c r="A45" s="20">
        <v>46143</v>
      </c>
      <c r="B45" s="6" t="s">
        <v>41</v>
      </c>
      <c r="C45">
        <v>10.313000000000001</v>
      </c>
    </row>
    <row r="46" spans="1:3" x14ac:dyDescent="0.25">
      <c r="A46" s="20">
        <v>46143</v>
      </c>
      <c r="B46" s="6" t="s">
        <v>42</v>
      </c>
      <c r="C46">
        <v>17.530999999999999</v>
      </c>
    </row>
    <row r="47" spans="1:3" x14ac:dyDescent="0.25">
      <c r="A47" s="20">
        <v>46143</v>
      </c>
      <c r="B47" s="6" t="s">
        <v>43</v>
      </c>
      <c r="C47">
        <v>29.44</v>
      </c>
    </row>
    <row r="48" spans="1:3" x14ac:dyDescent="0.25">
      <c r="A48" s="20">
        <v>46143</v>
      </c>
      <c r="B48" s="6" t="s">
        <v>44</v>
      </c>
      <c r="C48">
        <v>0</v>
      </c>
    </row>
    <row r="49" spans="1:3" x14ac:dyDescent="0.25">
      <c r="A49" s="20">
        <v>46143</v>
      </c>
      <c r="B49" s="6" t="s">
        <v>45</v>
      </c>
      <c r="C49">
        <v>3.4540000000000002</v>
      </c>
    </row>
    <row r="50" spans="1:3" x14ac:dyDescent="0.25">
      <c r="A50" s="20">
        <v>46143</v>
      </c>
      <c r="B50" s="6" t="s">
        <v>46</v>
      </c>
      <c r="C50">
        <v>2.8279999999999998</v>
      </c>
    </row>
    <row r="51" spans="1:3" x14ac:dyDescent="0.25">
      <c r="A51" s="20">
        <v>46143</v>
      </c>
      <c r="B51" s="6" t="s">
        <v>47</v>
      </c>
      <c r="C51">
        <v>3.8029999999999999</v>
      </c>
    </row>
    <row r="52" spans="1:3" x14ac:dyDescent="0.25">
      <c r="A52" s="20">
        <v>46143</v>
      </c>
      <c r="B52" s="6" t="s">
        <v>48</v>
      </c>
      <c r="C52">
        <v>0</v>
      </c>
    </row>
    <row r="53" spans="1:3" x14ac:dyDescent="0.25">
      <c r="A53" s="20">
        <v>46143</v>
      </c>
      <c r="B53" s="6" t="s">
        <v>49</v>
      </c>
      <c r="C53">
        <v>3.395</v>
      </c>
    </row>
    <row r="54" spans="1:3" x14ac:dyDescent="0.25">
      <c r="A54" s="20">
        <v>46143</v>
      </c>
      <c r="B54" s="6" t="s">
        <v>50</v>
      </c>
      <c r="C54">
        <v>3.84</v>
      </c>
    </row>
    <row r="55" spans="1:3" x14ac:dyDescent="0.25">
      <c r="A55" s="20">
        <v>46143</v>
      </c>
      <c r="B55" s="6" t="s">
        <v>51</v>
      </c>
      <c r="C55">
        <v>3.673</v>
      </c>
    </row>
    <row r="56" spans="1:3" x14ac:dyDescent="0.25">
      <c r="A56" s="20">
        <v>46143</v>
      </c>
      <c r="B56" s="6" t="s">
        <v>52</v>
      </c>
      <c r="C56">
        <v>3.7989999999999999</v>
      </c>
    </row>
    <row r="57" spans="1:3" x14ac:dyDescent="0.25">
      <c r="A57" s="20">
        <v>46143</v>
      </c>
      <c r="B57" s="6" t="s">
        <v>53</v>
      </c>
      <c r="C57">
        <v>0.45500000000000002</v>
      </c>
    </row>
    <row r="58" spans="1:3" x14ac:dyDescent="0.25">
      <c r="A58" s="20">
        <v>46143</v>
      </c>
      <c r="B58" s="6" t="s">
        <v>54</v>
      </c>
      <c r="C58">
        <v>1.605</v>
      </c>
    </row>
    <row r="59" spans="1:3" x14ac:dyDescent="0.25">
      <c r="A59" s="20">
        <v>46143</v>
      </c>
      <c r="B59" s="6" t="s">
        <v>55</v>
      </c>
      <c r="C59">
        <v>0.56699999999999995</v>
      </c>
    </row>
    <row r="60" spans="1:3" x14ac:dyDescent="0.25">
      <c r="A60" s="20">
        <v>46143</v>
      </c>
      <c r="B60" s="6" t="s">
        <v>56</v>
      </c>
      <c r="C60">
        <v>1.7250000000000001</v>
      </c>
    </row>
    <row r="61" spans="1:3" x14ac:dyDescent="0.25">
      <c r="A61" s="20">
        <v>46143</v>
      </c>
      <c r="B61" s="6" t="s">
        <v>57</v>
      </c>
      <c r="C61">
        <v>1.766</v>
      </c>
    </row>
    <row r="62" spans="1:3" x14ac:dyDescent="0.25">
      <c r="A62" s="20">
        <v>46143</v>
      </c>
      <c r="B62" s="6" t="s">
        <v>58</v>
      </c>
      <c r="C62">
        <v>1.7929999999999999</v>
      </c>
    </row>
    <row r="63" spans="1:3" x14ac:dyDescent="0.25">
      <c r="A63" s="20">
        <v>46143</v>
      </c>
      <c r="B63" s="6" t="s">
        <v>59</v>
      </c>
      <c r="C63">
        <v>0.84899999999999998</v>
      </c>
    </row>
    <row r="64" spans="1:3" x14ac:dyDescent="0.25">
      <c r="A64" s="20">
        <v>46143</v>
      </c>
      <c r="B64" s="6" t="s">
        <v>60</v>
      </c>
      <c r="C64">
        <v>1.522</v>
      </c>
    </row>
    <row r="65" spans="1:3" x14ac:dyDescent="0.25">
      <c r="A65" s="20">
        <v>46143</v>
      </c>
      <c r="B65" s="6" t="s">
        <v>61</v>
      </c>
      <c r="C65">
        <v>4.5289999999999999</v>
      </c>
    </row>
    <row r="66" spans="1:3" x14ac:dyDescent="0.25">
      <c r="A66" s="20">
        <v>46143</v>
      </c>
      <c r="B66" s="6" t="s">
        <v>62</v>
      </c>
      <c r="C66">
        <v>8.27</v>
      </c>
    </row>
    <row r="67" spans="1:3" x14ac:dyDescent="0.25">
      <c r="A67" s="20">
        <v>46143</v>
      </c>
      <c r="B67" s="6" t="s">
        <v>63</v>
      </c>
      <c r="C67">
        <v>1.2549999999999999</v>
      </c>
    </row>
    <row r="68" spans="1:3" x14ac:dyDescent="0.25">
      <c r="A68" s="20">
        <v>46143</v>
      </c>
      <c r="B68" s="6" t="s">
        <v>64</v>
      </c>
      <c r="C68">
        <v>6.57</v>
      </c>
    </row>
    <row r="69" spans="1:3" x14ac:dyDescent="0.25">
      <c r="A69" s="20">
        <v>46143</v>
      </c>
      <c r="B69" s="6" t="s">
        <v>65</v>
      </c>
      <c r="C69">
        <v>33.384</v>
      </c>
    </row>
    <row r="70" spans="1:3" x14ac:dyDescent="0.25">
      <c r="A70" s="20">
        <v>46143</v>
      </c>
      <c r="B70" s="6" t="s">
        <v>66</v>
      </c>
      <c r="C70">
        <v>41.093000000000004</v>
      </c>
    </row>
    <row r="71" spans="1:3" x14ac:dyDescent="0.25">
      <c r="A71" s="20">
        <v>46143</v>
      </c>
      <c r="B71" s="6" t="s">
        <v>67</v>
      </c>
      <c r="C71">
        <v>19.925000000000001</v>
      </c>
    </row>
    <row r="72" spans="1:3" x14ac:dyDescent="0.25">
      <c r="A72" s="20">
        <v>46143</v>
      </c>
      <c r="B72" s="6" t="s">
        <v>68</v>
      </c>
      <c r="C72">
        <v>1.633</v>
      </c>
    </row>
    <row r="73" spans="1:3" x14ac:dyDescent="0.25">
      <c r="A73" s="20">
        <v>46143</v>
      </c>
      <c r="B73" s="6" t="s">
        <v>69</v>
      </c>
      <c r="C73">
        <v>41.735999999999997</v>
      </c>
    </row>
    <row r="74" spans="1:3" x14ac:dyDescent="0.25">
      <c r="A74" s="20">
        <v>46143</v>
      </c>
      <c r="B74" s="6" t="s">
        <v>70</v>
      </c>
      <c r="C74">
        <v>1.3260000000000001</v>
      </c>
    </row>
    <row r="75" spans="1:3" x14ac:dyDescent="0.25">
      <c r="A75" s="20">
        <v>46143</v>
      </c>
      <c r="B75" s="6" t="s">
        <v>71</v>
      </c>
      <c r="C75">
        <v>3.45</v>
      </c>
    </row>
    <row r="76" spans="1:3" x14ac:dyDescent="0.25">
      <c r="A76" s="20">
        <v>46174</v>
      </c>
      <c r="B76" s="6" t="s">
        <v>120</v>
      </c>
      <c r="C76">
        <v>73.296000000000006</v>
      </c>
    </row>
    <row r="77" spans="1:3" x14ac:dyDescent="0.25">
      <c r="A77" s="20">
        <v>46174</v>
      </c>
      <c r="B77" s="6" t="s">
        <v>121</v>
      </c>
      <c r="C77">
        <v>83.822999999999993</v>
      </c>
    </row>
    <row r="78" spans="1:3" x14ac:dyDescent="0.25">
      <c r="A78" s="20">
        <v>46174</v>
      </c>
      <c r="B78" s="6" t="s">
        <v>122</v>
      </c>
      <c r="C78">
        <v>95.736000000000004</v>
      </c>
    </row>
    <row r="79" spans="1:3" x14ac:dyDescent="0.25">
      <c r="A79" s="20">
        <v>46174</v>
      </c>
      <c r="B79" s="6" t="s">
        <v>123</v>
      </c>
      <c r="C79">
        <v>51.45</v>
      </c>
    </row>
    <row r="80" spans="1:3" x14ac:dyDescent="0.25">
      <c r="A80" s="20">
        <v>46174</v>
      </c>
      <c r="B80" s="6" t="s">
        <v>39</v>
      </c>
      <c r="C80">
        <v>5.7389999999999999</v>
      </c>
    </row>
    <row r="81" spans="1:3" x14ac:dyDescent="0.25">
      <c r="A81" s="20">
        <v>46174</v>
      </c>
      <c r="B81" s="6" t="s">
        <v>40</v>
      </c>
      <c r="C81">
        <v>12.358000000000001</v>
      </c>
    </row>
    <row r="82" spans="1:3" x14ac:dyDescent="0.25">
      <c r="A82" s="20">
        <v>46174</v>
      </c>
      <c r="B82" s="6" t="s">
        <v>41</v>
      </c>
      <c r="C82">
        <v>13.715</v>
      </c>
    </row>
    <row r="83" spans="1:3" x14ac:dyDescent="0.25">
      <c r="A83" s="20">
        <v>46174</v>
      </c>
      <c r="B83" s="6" t="s">
        <v>42</v>
      </c>
      <c r="C83">
        <v>17.128</v>
      </c>
    </row>
    <row r="84" spans="1:3" x14ac:dyDescent="0.25">
      <c r="A84" s="20">
        <v>46174</v>
      </c>
      <c r="B84" s="6" t="s">
        <v>43</v>
      </c>
      <c r="C84">
        <v>40.450000000000003</v>
      </c>
    </row>
    <row r="85" spans="1:3" x14ac:dyDescent="0.25">
      <c r="A85" s="20">
        <v>46174</v>
      </c>
      <c r="B85" s="6" t="s">
        <v>44</v>
      </c>
      <c r="C85">
        <v>0</v>
      </c>
    </row>
    <row r="86" spans="1:3" x14ac:dyDescent="0.25">
      <c r="A86" s="20">
        <v>46174</v>
      </c>
      <c r="B86" s="6" t="s">
        <v>45</v>
      </c>
      <c r="C86">
        <v>6.3710000000000004</v>
      </c>
    </row>
    <row r="87" spans="1:3" x14ac:dyDescent="0.25">
      <c r="A87" s="20">
        <v>46174</v>
      </c>
      <c r="B87" s="6" t="s">
        <v>46</v>
      </c>
      <c r="C87">
        <v>6.423</v>
      </c>
    </row>
    <row r="88" spans="1:3" x14ac:dyDescent="0.25">
      <c r="A88" s="20">
        <v>46174</v>
      </c>
      <c r="B88" s="6" t="s">
        <v>47</v>
      </c>
      <c r="C88">
        <v>7.0410000000000004</v>
      </c>
    </row>
    <row r="89" spans="1:3" x14ac:dyDescent="0.25">
      <c r="A89" s="20">
        <v>46174</v>
      </c>
      <c r="B89" s="6" t="s">
        <v>48</v>
      </c>
      <c r="C89">
        <v>0</v>
      </c>
    </row>
    <row r="90" spans="1:3" x14ac:dyDescent="0.25">
      <c r="A90" s="20">
        <v>46174</v>
      </c>
      <c r="B90" s="6" t="s">
        <v>49</v>
      </c>
      <c r="C90">
        <v>8.1470000000000002</v>
      </c>
    </row>
    <row r="91" spans="1:3" x14ac:dyDescent="0.25">
      <c r="A91" s="20">
        <v>46174</v>
      </c>
      <c r="B91" s="6" t="s">
        <v>50</v>
      </c>
      <c r="C91">
        <v>5.01</v>
      </c>
    </row>
    <row r="92" spans="1:3" x14ac:dyDescent="0.25">
      <c r="A92" s="20">
        <v>46174</v>
      </c>
      <c r="B92" s="6" t="s">
        <v>51</v>
      </c>
      <c r="C92">
        <v>5.0049999999999999</v>
      </c>
    </row>
    <row r="93" spans="1:3" x14ac:dyDescent="0.25">
      <c r="A93" s="20">
        <v>46174</v>
      </c>
      <c r="B93" s="6" t="s">
        <v>52</v>
      </c>
      <c r="C93">
        <v>5.0119999999999996</v>
      </c>
    </row>
    <row r="94" spans="1:3" x14ac:dyDescent="0.25">
      <c r="A94" s="20">
        <v>46174</v>
      </c>
      <c r="B94" s="6" t="s">
        <v>53</v>
      </c>
      <c r="C94">
        <v>0.70099999999999996</v>
      </c>
    </row>
    <row r="95" spans="1:3" x14ac:dyDescent="0.25">
      <c r="A95" s="20">
        <v>46174</v>
      </c>
      <c r="B95" s="6" t="s">
        <v>54</v>
      </c>
      <c r="C95">
        <v>0.66</v>
      </c>
    </row>
    <row r="96" spans="1:3" x14ac:dyDescent="0.25">
      <c r="A96" s="20">
        <v>46174</v>
      </c>
      <c r="B96" s="6" t="s">
        <v>55</v>
      </c>
      <c r="C96">
        <v>0.13100000000000001</v>
      </c>
    </row>
    <row r="97" spans="1:3" x14ac:dyDescent="0.25">
      <c r="A97" s="20">
        <v>46174</v>
      </c>
      <c r="B97" s="6" t="s">
        <v>56</v>
      </c>
      <c r="C97">
        <v>0.77700000000000002</v>
      </c>
    </row>
    <row r="98" spans="1:3" x14ac:dyDescent="0.25">
      <c r="A98" s="20">
        <v>46174</v>
      </c>
      <c r="B98" s="6" t="s">
        <v>57</v>
      </c>
      <c r="C98">
        <v>0.77300000000000002</v>
      </c>
    </row>
    <row r="99" spans="1:3" x14ac:dyDescent="0.25">
      <c r="A99" s="20">
        <v>46174</v>
      </c>
      <c r="B99" s="6" t="s">
        <v>58</v>
      </c>
      <c r="C99">
        <v>0.52400000000000002</v>
      </c>
    </row>
    <row r="100" spans="1:3" x14ac:dyDescent="0.25">
      <c r="A100" s="20">
        <v>46174</v>
      </c>
      <c r="B100" s="6" t="s">
        <v>59</v>
      </c>
      <c r="C100">
        <v>0.32900000000000001</v>
      </c>
    </row>
    <row r="101" spans="1:3" x14ac:dyDescent="0.25">
      <c r="A101" s="20">
        <v>46174</v>
      </c>
      <c r="B101" s="6" t="s">
        <v>60</v>
      </c>
      <c r="C101">
        <v>1.167</v>
      </c>
    </row>
    <row r="102" spans="1:3" x14ac:dyDescent="0.25">
      <c r="A102" s="20">
        <v>46174</v>
      </c>
      <c r="B102" s="6" t="s">
        <v>61</v>
      </c>
      <c r="C102">
        <v>6.1959999999999997</v>
      </c>
    </row>
    <row r="103" spans="1:3" x14ac:dyDescent="0.25">
      <c r="A103" s="20">
        <v>46174</v>
      </c>
      <c r="B103" s="6" t="s">
        <v>62</v>
      </c>
      <c r="C103">
        <v>8.3450000000000006</v>
      </c>
    </row>
    <row r="104" spans="1:3" x14ac:dyDescent="0.25">
      <c r="A104" s="20">
        <v>46174</v>
      </c>
      <c r="B104" s="6" t="s">
        <v>63</v>
      </c>
      <c r="C104">
        <v>4.4509999999999996</v>
      </c>
    </row>
    <row r="105" spans="1:3" x14ac:dyDescent="0.25">
      <c r="A105" s="20">
        <v>46174</v>
      </c>
      <c r="B105" s="6" t="s">
        <v>64</v>
      </c>
      <c r="C105">
        <v>1.1240000000000001</v>
      </c>
    </row>
    <row r="106" spans="1:3" x14ac:dyDescent="0.25">
      <c r="A106" s="20">
        <v>46174</v>
      </c>
      <c r="B106" s="6" t="s">
        <v>65</v>
      </c>
      <c r="C106">
        <v>38.012999999999998</v>
      </c>
    </row>
    <row r="107" spans="1:3" x14ac:dyDescent="0.25">
      <c r="A107" s="20">
        <v>46174</v>
      </c>
      <c r="B107" s="6" t="s">
        <v>66</v>
      </c>
      <c r="C107">
        <v>36.918999999999997</v>
      </c>
    </row>
    <row r="108" spans="1:3" x14ac:dyDescent="0.25">
      <c r="A108" s="20">
        <v>46174</v>
      </c>
      <c r="B108" s="6" t="s">
        <v>67</v>
      </c>
      <c r="C108">
        <v>39.063000000000002</v>
      </c>
    </row>
    <row r="109" spans="1:3" x14ac:dyDescent="0.25">
      <c r="A109" s="20">
        <v>46174</v>
      </c>
      <c r="B109" s="6" t="s">
        <v>68</v>
      </c>
      <c r="C109">
        <v>11.414</v>
      </c>
    </row>
    <row r="110" spans="1:3" x14ac:dyDescent="0.25">
      <c r="A110" s="20">
        <v>46174</v>
      </c>
      <c r="B110" s="6" t="s">
        <v>69</v>
      </c>
      <c r="C110">
        <v>53.063000000000002</v>
      </c>
    </row>
    <row r="111" spans="1:3" x14ac:dyDescent="0.25">
      <c r="A111" s="20">
        <v>46174</v>
      </c>
      <c r="B111" s="6" t="s">
        <v>70</v>
      </c>
      <c r="C111">
        <v>2.573</v>
      </c>
    </row>
    <row r="112" spans="1:3" x14ac:dyDescent="0.25">
      <c r="A112" s="20">
        <v>46174</v>
      </c>
      <c r="B112" s="6" t="s">
        <v>71</v>
      </c>
      <c r="C112">
        <v>3.2749999999999999</v>
      </c>
    </row>
    <row r="113" spans="1:3" x14ac:dyDescent="0.25">
      <c r="A113" s="20">
        <v>46204</v>
      </c>
      <c r="B113" s="6" t="s">
        <v>120</v>
      </c>
      <c r="C113">
        <v>53.53</v>
      </c>
    </row>
    <row r="114" spans="1:3" x14ac:dyDescent="0.25">
      <c r="A114" s="20">
        <v>46204</v>
      </c>
      <c r="B114" s="6" t="s">
        <v>121</v>
      </c>
      <c r="C114">
        <v>68.989999999999995</v>
      </c>
    </row>
    <row r="115" spans="1:3" x14ac:dyDescent="0.25">
      <c r="A115" s="20">
        <v>46204</v>
      </c>
      <c r="B115" s="6" t="s">
        <v>122</v>
      </c>
      <c r="C115">
        <v>66.147000000000006</v>
      </c>
    </row>
    <row r="116" spans="1:3" x14ac:dyDescent="0.25">
      <c r="A116" s="20">
        <v>46204</v>
      </c>
      <c r="B116" s="6" t="s">
        <v>123</v>
      </c>
      <c r="C116">
        <v>36.56</v>
      </c>
    </row>
    <row r="117" spans="1:3" x14ac:dyDescent="0.25">
      <c r="A117" s="20">
        <v>46204</v>
      </c>
      <c r="B117" s="6" t="s">
        <v>39</v>
      </c>
      <c r="C117">
        <v>2.9369999999999998</v>
      </c>
    </row>
    <row r="118" spans="1:3" x14ac:dyDescent="0.25">
      <c r="A118" s="20">
        <v>46204</v>
      </c>
      <c r="B118" s="6" t="s">
        <v>40</v>
      </c>
      <c r="C118">
        <v>11.635999999999999</v>
      </c>
    </row>
    <row r="119" spans="1:3" x14ac:dyDescent="0.25">
      <c r="A119" s="20">
        <v>46204</v>
      </c>
      <c r="B119" s="6" t="s">
        <v>41</v>
      </c>
      <c r="C119">
        <v>12.215</v>
      </c>
    </row>
    <row r="120" spans="1:3" x14ac:dyDescent="0.25">
      <c r="A120" s="20">
        <v>46204</v>
      </c>
      <c r="B120" s="6" t="s">
        <v>42</v>
      </c>
      <c r="C120">
        <v>15.413</v>
      </c>
    </row>
    <row r="121" spans="1:3" x14ac:dyDescent="0.25">
      <c r="A121" s="20">
        <v>46204</v>
      </c>
      <c r="B121" s="6" t="s">
        <v>43</v>
      </c>
      <c r="C121">
        <v>28.489000000000001</v>
      </c>
    </row>
    <row r="122" spans="1:3" x14ac:dyDescent="0.25">
      <c r="A122" s="20">
        <v>46204</v>
      </c>
      <c r="B122" s="6" t="s">
        <v>44</v>
      </c>
      <c r="C122">
        <v>0</v>
      </c>
    </row>
    <row r="123" spans="1:3" x14ac:dyDescent="0.25">
      <c r="A123" s="20">
        <v>46204</v>
      </c>
      <c r="B123" s="6" t="s">
        <v>45</v>
      </c>
      <c r="C123">
        <v>5.8769999999999998</v>
      </c>
    </row>
    <row r="124" spans="1:3" x14ac:dyDescent="0.25">
      <c r="A124" s="20">
        <v>46204</v>
      </c>
      <c r="B124" s="6" t="s">
        <v>46</v>
      </c>
      <c r="C124">
        <v>6.9619999999999997</v>
      </c>
    </row>
    <row r="125" spans="1:3" x14ac:dyDescent="0.25">
      <c r="A125" s="20">
        <v>46204</v>
      </c>
      <c r="B125" s="6" t="s">
        <v>47</v>
      </c>
      <c r="C125">
        <v>7.5019999999999998</v>
      </c>
    </row>
    <row r="126" spans="1:3" x14ac:dyDescent="0.25">
      <c r="A126" s="20">
        <v>46204</v>
      </c>
      <c r="B126" s="6" t="s">
        <v>48</v>
      </c>
      <c r="C126">
        <v>0</v>
      </c>
    </row>
    <row r="127" spans="1:3" x14ac:dyDescent="0.25">
      <c r="A127" s="20">
        <v>46204</v>
      </c>
      <c r="B127" s="6" t="s">
        <v>49</v>
      </c>
      <c r="C127">
        <v>5.4829999999999997</v>
      </c>
    </row>
    <row r="128" spans="1:3" x14ac:dyDescent="0.25">
      <c r="A128" s="20">
        <v>46204</v>
      </c>
      <c r="B128" s="6" t="s">
        <v>50</v>
      </c>
      <c r="C128">
        <v>4.4290000000000003</v>
      </c>
    </row>
    <row r="129" spans="1:3" x14ac:dyDescent="0.25">
      <c r="A129" s="20">
        <v>46204</v>
      </c>
      <c r="B129" s="6" t="s">
        <v>51</v>
      </c>
      <c r="C129">
        <v>3.8370000000000002</v>
      </c>
    </row>
    <row r="130" spans="1:3" x14ac:dyDescent="0.25">
      <c r="A130" s="20">
        <v>46204</v>
      </c>
      <c r="B130" s="6" t="s">
        <v>52</v>
      </c>
      <c r="C130">
        <v>3.19</v>
      </c>
    </row>
    <row r="131" spans="1:3" x14ac:dyDescent="0.25">
      <c r="A131" s="20">
        <v>46204</v>
      </c>
      <c r="B131" s="6" t="s">
        <v>53</v>
      </c>
      <c r="C131">
        <v>0</v>
      </c>
    </row>
    <row r="132" spans="1:3" x14ac:dyDescent="0.25">
      <c r="A132" s="20">
        <v>46204</v>
      </c>
      <c r="B132" s="6" t="s">
        <v>54</v>
      </c>
      <c r="C132">
        <v>0</v>
      </c>
    </row>
    <row r="133" spans="1:3" x14ac:dyDescent="0.25">
      <c r="A133" s="20">
        <v>46204</v>
      </c>
      <c r="B133" s="6" t="s">
        <v>55</v>
      </c>
      <c r="C133">
        <v>0</v>
      </c>
    </row>
    <row r="134" spans="1:3" x14ac:dyDescent="0.25">
      <c r="A134" s="20">
        <v>46204</v>
      </c>
      <c r="B134" s="6" t="s">
        <v>56</v>
      </c>
      <c r="C134">
        <v>1.155</v>
      </c>
    </row>
    <row r="135" spans="1:3" x14ac:dyDescent="0.25">
      <c r="A135" s="20">
        <v>46204</v>
      </c>
      <c r="B135" s="6" t="s">
        <v>57</v>
      </c>
      <c r="C135">
        <v>0.95699999999999996</v>
      </c>
    </row>
    <row r="136" spans="1:3" x14ac:dyDescent="0.25">
      <c r="A136" s="20">
        <v>46204</v>
      </c>
      <c r="B136" s="6" t="s">
        <v>58</v>
      </c>
      <c r="C136">
        <v>0.88200000000000001</v>
      </c>
    </row>
    <row r="137" spans="1:3" x14ac:dyDescent="0.25">
      <c r="A137" s="20">
        <v>46204</v>
      </c>
      <c r="B137" s="6" t="s">
        <v>59</v>
      </c>
      <c r="C137">
        <v>0</v>
      </c>
    </row>
    <row r="138" spans="1:3" x14ac:dyDescent="0.25">
      <c r="A138" s="20">
        <v>46204</v>
      </c>
      <c r="B138" s="6" t="s">
        <v>60</v>
      </c>
      <c r="C138">
        <v>3.2189999999999999</v>
      </c>
    </row>
    <row r="139" spans="1:3" x14ac:dyDescent="0.25">
      <c r="A139" s="20">
        <v>46204</v>
      </c>
      <c r="B139" s="6" t="s">
        <v>61</v>
      </c>
      <c r="C139">
        <v>5.343</v>
      </c>
    </row>
    <row r="140" spans="1:3" x14ac:dyDescent="0.25">
      <c r="A140" s="20">
        <v>46204</v>
      </c>
      <c r="B140" s="6" t="s">
        <v>62</v>
      </c>
      <c r="C140">
        <v>7.86</v>
      </c>
    </row>
    <row r="141" spans="1:3" x14ac:dyDescent="0.25">
      <c r="A141" s="20">
        <v>46204</v>
      </c>
      <c r="B141" s="6" t="s">
        <v>64</v>
      </c>
      <c r="C141">
        <v>0</v>
      </c>
    </row>
    <row r="142" spans="1:3" x14ac:dyDescent="0.25">
      <c r="A142" s="20">
        <v>46204</v>
      </c>
      <c r="B142" s="6" t="s">
        <v>65</v>
      </c>
      <c r="C142">
        <v>33.180999999999997</v>
      </c>
    </row>
    <row r="143" spans="1:3" x14ac:dyDescent="0.25">
      <c r="A143" s="20">
        <v>46204</v>
      </c>
      <c r="B143" s="6" t="s">
        <v>66</v>
      </c>
      <c r="C143">
        <v>0</v>
      </c>
    </row>
    <row r="144" spans="1:3" x14ac:dyDescent="0.25">
      <c r="A144" s="20">
        <v>46204</v>
      </c>
      <c r="B144" s="6" t="s">
        <v>67</v>
      </c>
      <c r="C144">
        <v>31.428999999999998</v>
      </c>
    </row>
    <row r="145" spans="1:3" x14ac:dyDescent="0.25">
      <c r="A145" s="20">
        <v>46204</v>
      </c>
      <c r="B145" s="6" t="s">
        <v>68</v>
      </c>
      <c r="C145">
        <v>8.1890000000000001</v>
      </c>
    </row>
    <row r="146" spans="1:3" x14ac:dyDescent="0.25">
      <c r="A146" s="20">
        <v>46204</v>
      </c>
      <c r="B146" s="6" t="s">
        <v>69</v>
      </c>
      <c r="C146">
        <v>7.5670000000000002</v>
      </c>
    </row>
    <row r="147" spans="1:3" x14ac:dyDescent="0.25">
      <c r="A147" s="20">
        <v>46204</v>
      </c>
      <c r="B147" s="6" t="s">
        <v>70</v>
      </c>
      <c r="C147">
        <v>26.713999999999999</v>
      </c>
    </row>
    <row r="148" spans="1:3" x14ac:dyDescent="0.25">
      <c r="A148" s="20">
        <v>46204</v>
      </c>
      <c r="B148" s="6" t="s">
        <v>71</v>
      </c>
      <c r="C148">
        <v>2.5249999999999999</v>
      </c>
    </row>
    <row r="149" spans="1:3" x14ac:dyDescent="0.25">
      <c r="A149" s="20">
        <v>46235</v>
      </c>
      <c r="B149" s="6" t="s">
        <v>120</v>
      </c>
      <c r="C149">
        <v>54.508000000000003</v>
      </c>
    </row>
    <row r="150" spans="1:3" x14ac:dyDescent="0.25">
      <c r="A150" s="20">
        <v>46235</v>
      </c>
      <c r="B150" s="6" t="s">
        <v>121</v>
      </c>
      <c r="C150">
        <v>68.641999999999996</v>
      </c>
    </row>
    <row r="151" spans="1:3" x14ac:dyDescent="0.25">
      <c r="A151" s="20">
        <v>46235</v>
      </c>
      <c r="B151" s="6" t="s">
        <v>122</v>
      </c>
      <c r="C151">
        <v>56.036000000000001</v>
      </c>
    </row>
    <row r="152" spans="1:3" x14ac:dyDescent="0.25">
      <c r="A152" s="20">
        <v>46235</v>
      </c>
      <c r="B152" s="6" t="s">
        <v>123</v>
      </c>
      <c r="C152">
        <v>32.415999999999997</v>
      </c>
    </row>
    <row r="153" spans="1:3" x14ac:dyDescent="0.25">
      <c r="A153" s="20">
        <v>46235</v>
      </c>
      <c r="B153" s="6" t="s">
        <v>39</v>
      </c>
      <c r="C153" s="2">
        <v>0</v>
      </c>
    </row>
    <row r="154" spans="1:3" x14ac:dyDescent="0.25">
      <c r="A154" s="20">
        <v>46235</v>
      </c>
      <c r="B154" s="6" t="s">
        <v>40</v>
      </c>
      <c r="C154" s="2">
        <v>11.615</v>
      </c>
    </row>
    <row r="155" spans="1:3" x14ac:dyDescent="0.25">
      <c r="A155" s="20">
        <v>46235</v>
      </c>
      <c r="B155" s="6" t="s">
        <v>41</v>
      </c>
      <c r="C155" s="2">
        <v>13.946999999999999</v>
      </c>
    </row>
    <row r="156" spans="1:3" x14ac:dyDescent="0.25">
      <c r="A156" s="20">
        <v>46235</v>
      </c>
      <c r="B156" s="6" t="s">
        <v>42</v>
      </c>
      <c r="C156" s="2">
        <v>14.746</v>
      </c>
    </row>
    <row r="157" spans="1:3" x14ac:dyDescent="0.25">
      <c r="A157" s="20">
        <v>46235</v>
      </c>
      <c r="B157" s="6" t="s">
        <v>43</v>
      </c>
      <c r="C157" s="2">
        <v>26.417999999999999</v>
      </c>
    </row>
    <row r="158" spans="1:3" x14ac:dyDescent="0.25">
      <c r="A158" s="20">
        <v>46235</v>
      </c>
      <c r="B158" s="6" t="s">
        <v>44</v>
      </c>
      <c r="C158" s="2">
        <v>1.9730000000000001</v>
      </c>
    </row>
    <row r="159" spans="1:3" x14ac:dyDescent="0.25">
      <c r="A159" s="20">
        <v>46235</v>
      </c>
      <c r="B159" s="6" t="s">
        <v>45</v>
      </c>
      <c r="C159" s="2">
        <v>4.9969999999999999</v>
      </c>
    </row>
    <row r="160" spans="1:3" x14ac:dyDescent="0.25">
      <c r="A160" s="20">
        <v>46235</v>
      </c>
      <c r="B160" s="6" t="s">
        <v>46</v>
      </c>
      <c r="C160" s="2">
        <v>7.218</v>
      </c>
    </row>
    <row r="161" spans="1:3" x14ac:dyDescent="0.25">
      <c r="A161" s="20">
        <v>46235</v>
      </c>
      <c r="B161" s="6" t="s">
        <v>47</v>
      </c>
      <c r="C161" s="2">
        <v>8.2859999999999996</v>
      </c>
    </row>
    <row r="162" spans="1:3" x14ac:dyDescent="0.25">
      <c r="A162" s="20">
        <v>46235</v>
      </c>
      <c r="B162" s="6" t="s">
        <v>48</v>
      </c>
      <c r="C162" s="2">
        <v>1.399</v>
      </c>
    </row>
    <row r="163" spans="1:3" x14ac:dyDescent="0.25">
      <c r="A163" s="20">
        <v>46235</v>
      </c>
      <c r="B163" s="6" t="s">
        <v>49</v>
      </c>
      <c r="C163" s="2">
        <v>7.5739999999999998</v>
      </c>
    </row>
    <row r="164" spans="1:3" x14ac:dyDescent="0.25">
      <c r="A164" s="20">
        <v>46235</v>
      </c>
      <c r="B164" s="6" t="s">
        <v>50</v>
      </c>
      <c r="C164" s="2">
        <v>4.7960000000000003</v>
      </c>
    </row>
    <row r="165" spans="1:3" x14ac:dyDescent="0.25">
      <c r="A165" s="20">
        <v>46235</v>
      </c>
      <c r="B165" s="6" t="s">
        <v>51</v>
      </c>
      <c r="C165" s="2">
        <v>4.5679999999999996</v>
      </c>
    </row>
    <row r="166" spans="1:3" x14ac:dyDescent="0.25">
      <c r="A166" s="20">
        <v>46235</v>
      </c>
      <c r="B166" s="6" t="s">
        <v>52</v>
      </c>
      <c r="C166" s="2">
        <v>4.0060000000000002</v>
      </c>
    </row>
    <row r="167" spans="1:3" x14ac:dyDescent="0.25">
      <c r="A167" s="20">
        <v>46235</v>
      </c>
      <c r="B167" s="6" t="s">
        <v>53</v>
      </c>
      <c r="C167" s="2">
        <v>0</v>
      </c>
    </row>
    <row r="168" spans="1:3" x14ac:dyDescent="0.25">
      <c r="A168" s="20">
        <v>46235</v>
      </c>
      <c r="B168" s="6" t="s">
        <v>54</v>
      </c>
      <c r="C168" s="2">
        <v>0</v>
      </c>
    </row>
    <row r="169" spans="1:3" x14ac:dyDescent="0.25">
      <c r="A169" s="20">
        <v>46235</v>
      </c>
      <c r="B169" s="6" t="s">
        <v>55</v>
      </c>
      <c r="C169" s="2">
        <v>0</v>
      </c>
    </row>
    <row r="170" spans="1:3" x14ac:dyDescent="0.25">
      <c r="A170" s="20">
        <v>46235</v>
      </c>
      <c r="B170" s="6" t="s">
        <v>56</v>
      </c>
      <c r="C170" s="2">
        <v>0.80300000000000005</v>
      </c>
    </row>
    <row r="171" spans="1:3" x14ac:dyDescent="0.25">
      <c r="A171" s="20">
        <v>46235</v>
      </c>
      <c r="B171" s="6" t="s">
        <v>57</v>
      </c>
      <c r="C171" s="2">
        <v>0.88</v>
      </c>
    </row>
    <row r="172" spans="1:3" x14ac:dyDescent="0.25">
      <c r="A172" s="20">
        <v>46235</v>
      </c>
      <c r="B172" s="6" t="s">
        <v>58</v>
      </c>
      <c r="C172" s="2">
        <v>0.86</v>
      </c>
    </row>
    <row r="173" spans="1:3" x14ac:dyDescent="0.25">
      <c r="A173" s="20">
        <v>46235</v>
      </c>
      <c r="B173" s="6" t="s">
        <v>59</v>
      </c>
      <c r="C173" s="2">
        <v>0</v>
      </c>
    </row>
    <row r="174" spans="1:3" x14ac:dyDescent="0.25">
      <c r="A174" s="20">
        <v>46235</v>
      </c>
      <c r="B174" s="6" t="s">
        <v>60</v>
      </c>
      <c r="C174" s="2">
        <v>3.2810000000000001</v>
      </c>
    </row>
    <row r="175" spans="1:3" x14ac:dyDescent="0.25">
      <c r="A175" s="20">
        <v>46235</v>
      </c>
      <c r="B175" s="6" t="s">
        <v>61</v>
      </c>
      <c r="C175" s="2">
        <v>5.3070000000000004</v>
      </c>
    </row>
    <row r="176" spans="1:3" x14ac:dyDescent="0.25">
      <c r="A176" s="20">
        <v>46235</v>
      </c>
      <c r="B176" s="6" t="s">
        <v>62</v>
      </c>
      <c r="C176" s="2">
        <v>9.8160000000000007</v>
      </c>
    </row>
    <row r="177" spans="1:3" x14ac:dyDescent="0.25">
      <c r="A177" s="20">
        <v>46235</v>
      </c>
      <c r="B177" s="6" t="s">
        <v>63</v>
      </c>
      <c r="C177" s="2">
        <v>2.4729999999999999</v>
      </c>
    </row>
    <row r="178" spans="1:3" x14ac:dyDescent="0.25">
      <c r="A178" s="20">
        <v>46235</v>
      </c>
      <c r="B178" s="6" t="s">
        <v>64</v>
      </c>
      <c r="C178" s="2">
        <v>1.7689999999999999</v>
      </c>
    </row>
    <row r="179" spans="1:3" x14ac:dyDescent="0.25">
      <c r="A179" s="20">
        <v>46235</v>
      </c>
      <c r="B179" s="6" t="s">
        <v>65</v>
      </c>
      <c r="C179" s="2">
        <v>36.698999999999998</v>
      </c>
    </row>
    <row r="180" spans="1:3" x14ac:dyDescent="0.25">
      <c r="A180" s="20">
        <v>46235</v>
      </c>
      <c r="B180" s="6" t="s">
        <v>66</v>
      </c>
      <c r="C180" s="2">
        <v>0</v>
      </c>
    </row>
    <row r="181" spans="1:3" x14ac:dyDescent="0.25">
      <c r="A181" s="20">
        <v>46235</v>
      </c>
      <c r="B181" s="6" t="s">
        <v>67</v>
      </c>
      <c r="C181" s="2">
        <v>27.701000000000001</v>
      </c>
    </row>
    <row r="182" spans="1:3" x14ac:dyDescent="0.25">
      <c r="A182" s="20">
        <v>46235</v>
      </c>
      <c r="B182" s="6" t="s">
        <v>68</v>
      </c>
      <c r="C182" s="2">
        <v>6.6619999999999999</v>
      </c>
    </row>
    <row r="183" spans="1:3" x14ac:dyDescent="0.25">
      <c r="A183" s="20">
        <v>46235</v>
      </c>
      <c r="B183" s="6" t="s">
        <v>69</v>
      </c>
      <c r="C183" s="2">
        <v>20.652000000000001</v>
      </c>
    </row>
    <row r="184" spans="1:3" x14ac:dyDescent="0.25">
      <c r="A184" s="20">
        <v>46235</v>
      </c>
      <c r="B184" s="6" t="s">
        <v>70</v>
      </c>
      <c r="C184" s="2">
        <v>28.821000000000002</v>
      </c>
    </row>
    <row r="185" spans="1:3" x14ac:dyDescent="0.25">
      <c r="A185" s="20">
        <v>46235</v>
      </c>
      <c r="B185" s="6" t="s">
        <v>71</v>
      </c>
      <c r="C185" s="2">
        <v>2.125</v>
      </c>
    </row>
    <row r="186" spans="1:3" x14ac:dyDescent="0.25">
      <c r="A186" s="16">
        <v>46266</v>
      </c>
      <c r="B186" s="6" t="s">
        <v>120</v>
      </c>
      <c r="C186">
        <v>67.814999999999998</v>
      </c>
    </row>
    <row r="187" spans="1:3" x14ac:dyDescent="0.25">
      <c r="A187" s="16">
        <v>46266</v>
      </c>
      <c r="B187" s="6" t="s">
        <v>121</v>
      </c>
      <c r="C187">
        <v>38.783999999999999</v>
      </c>
    </row>
    <row r="188" spans="1:3" x14ac:dyDescent="0.25">
      <c r="A188" s="16">
        <v>46266</v>
      </c>
      <c r="B188" s="6" t="s">
        <v>122</v>
      </c>
      <c r="C188">
        <v>96.218999999999994</v>
      </c>
    </row>
    <row r="189" spans="1:3" x14ac:dyDescent="0.25">
      <c r="A189" s="16">
        <v>46266</v>
      </c>
      <c r="B189" s="6" t="s">
        <v>123</v>
      </c>
      <c r="C189">
        <v>60.167999999999999</v>
      </c>
    </row>
    <row r="190" spans="1:3" x14ac:dyDescent="0.25">
      <c r="A190" s="16">
        <v>46266</v>
      </c>
      <c r="B190" s="6" t="s">
        <v>39</v>
      </c>
      <c r="C190">
        <v>2.2879999999999998</v>
      </c>
    </row>
    <row r="191" spans="1:3" x14ac:dyDescent="0.25">
      <c r="A191" s="16">
        <v>46266</v>
      </c>
      <c r="B191" s="6" t="s">
        <v>40</v>
      </c>
      <c r="C191">
        <v>9.0039999999999996</v>
      </c>
    </row>
    <row r="192" spans="1:3" x14ac:dyDescent="0.25">
      <c r="A192" s="16">
        <v>46266</v>
      </c>
      <c r="B192" s="6" t="s">
        <v>41</v>
      </c>
      <c r="C192">
        <v>11.507999999999999</v>
      </c>
    </row>
    <row r="193" spans="1:3" x14ac:dyDescent="0.25">
      <c r="A193" s="16">
        <v>46266</v>
      </c>
      <c r="B193" s="6" t="s">
        <v>42</v>
      </c>
      <c r="C193">
        <v>15.59</v>
      </c>
    </row>
    <row r="194" spans="1:3" x14ac:dyDescent="0.25">
      <c r="A194" s="16">
        <v>46266</v>
      </c>
      <c r="B194" s="6" t="s">
        <v>43</v>
      </c>
      <c r="C194">
        <v>16.199000000000002</v>
      </c>
    </row>
    <row r="195" spans="1:3" x14ac:dyDescent="0.25">
      <c r="A195" s="16">
        <v>46266</v>
      </c>
      <c r="B195" s="6" t="s">
        <v>44</v>
      </c>
      <c r="C195">
        <v>5.7930000000000001</v>
      </c>
    </row>
    <row r="196" spans="1:3" x14ac:dyDescent="0.25">
      <c r="A196" s="16">
        <v>46266</v>
      </c>
      <c r="B196" s="6" t="s">
        <v>45</v>
      </c>
      <c r="C196">
        <v>7.7389999999999999</v>
      </c>
    </row>
    <row r="197" spans="1:3" x14ac:dyDescent="0.25">
      <c r="A197" s="16">
        <v>46266</v>
      </c>
      <c r="B197" s="6" t="s">
        <v>46</v>
      </c>
      <c r="C197">
        <v>9.3469999999999995</v>
      </c>
    </row>
    <row r="198" spans="1:3" x14ac:dyDescent="0.25">
      <c r="A198" s="16">
        <v>46266</v>
      </c>
      <c r="B198" s="6" t="s">
        <v>47</v>
      </c>
      <c r="C198">
        <v>8.3529999999999998</v>
      </c>
    </row>
    <row r="199" spans="1:3" x14ac:dyDescent="0.25">
      <c r="A199" s="16">
        <v>46266</v>
      </c>
      <c r="B199" s="6" t="s">
        <v>48</v>
      </c>
      <c r="C199">
        <v>7.593</v>
      </c>
    </row>
    <row r="200" spans="1:3" x14ac:dyDescent="0.25">
      <c r="A200" s="16">
        <v>46266</v>
      </c>
      <c r="B200" s="6" t="s">
        <v>49</v>
      </c>
      <c r="C200">
        <v>8.0180000000000007</v>
      </c>
    </row>
    <row r="201" spans="1:3" x14ac:dyDescent="0.25">
      <c r="A201" s="16">
        <v>46266</v>
      </c>
      <c r="B201" s="6" t="s">
        <v>50</v>
      </c>
      <c r="C201">
        <v>6.01</v>
      </c>
    </row>
    <row r="202" spans="1:3" x14ac:dyDescent="0.25">
      <c r="A202" s="16">
        <v>46266</v>
      </c>
      <c r="B202" s="6" t="s">
        <v>51</v>
      </c>
      <c r="C202">
        <v>6.4189999999999996</v>
      </c>
    </row>
    <row r="203" spans="1:3" x14ac:dyDescent="0.25">
      <c r="A203" s="16">
        <v>46266</v>
      </c>
      <c r="B203" s="6" t="s">
        <v>52</v>
      </c>
      <c r="C203">
        <v>6.8129999999999997</v>
      </c>
    </row>
    <row r="204" spans="1:3" x14ac:dyDescent="0.25">
      <c r="A204" s="16">
        <v>46266</v>
      </c>
      <c r="B204" s="6" t="s">
        <v>53</v>
      </c>
      <c r="C204">
        <v>0</v>
      </c>
    </row>
    <row r="205" spans="1:3" x14ac:dyDescent="0.25">
      <c r="A205" s="16">
        <v>46266</v>
      </c>
      <c r="B205" s="6" t="s">
        <v>54</v>
      </c>
      <c r="C205">
        <v>0</v>
      </c>
    </row>
    <row r="206" spans="1:3" x14ac:dyDescent="0.25">
      <c r="A206" s="16">
        <v>46266</v>
      </c>
      <c r="B206" s="6" t="s">
        <v>55</v>
      </c>
      <c r="C206">
        <v>0</v>
      </c>
    </row>
    <row r="207" spans="1:3" x14ac:dyDescent="0.25">
      <c r="A207" s="16">
        <v>46266</v>
      </c>
      <c r="B207" s="6" t="s">
        <v>56</v>
      </c>
      <c r="C207">
        <v>1.224</v>
      </c>
    </row>
    <row r="208" spans="1:3" x14ac:dyDescent="0.25">
      <c r="A208" s="16">
        <v>46266</v>
      </c>
      <c r="B208" s="6" t="s">
        <v>57</v>
      </c>
      <c r="C208">
        <v>1.1919999999999999</v>
      </c>
    </row>
    <row r="209" spans="1:3" x14ac:dyDescent="0.25">
      <c r="A209" s="16">
        <v>46266</v>
      </c>
      <c r="B209" s="6" t="s">
        <v>58</v>
      </c>
      <c r="C209">
        <v>1.1200000000000001</v>
      </c>
    </row>
    <row r="210" spans="1:3" x14ac:dyDescent="0.25">
      <c r="A210" s="16">
        <v>46266</v>
      </c>
      <c r="B210" s="6" t="s">
        <v>59</v>
      </c>
      <c r="C210">
        <v>0</v>
      </c>
    </row>
    <row r="211" spans="1:3" x14ac:dyDescent="0.25">
      <c r="A211" s="16">
        <v>46266</v>
      </c>
      <c r="B211" s="6" t="s">
        <v>60</v>
      </c>
      <c r="C211">
        <v>5.8159999999999998</v>
      </c>
    </row>
    <row r="212" spans="1:3" x14ac:dyDescent="0.25">
      <c r="A212" s="16">
        <v>46266</v>
      </c>
      <c r="B212" s="6" t="s">
        <v>61</v>
      </c>
      <c r="C212">
        <v>7.3259999999999996</v>
      </c>
    </row>
    <row r="213" spans="1:3" x14ac:dyDescent="0.25">
      <c r="A213" s="16">
        <v>46266</v>
      </c>
      <c r="B213" s="6" t="s">
        <v>62</v>
      </c>
      <c r="C213">
        <v>10.144</v>
      </c>
    </row>
    <row r="214" spans="1:3" x14ac:dyDescent="0.25">
      <c r="A214" s="16">
        <v>46266</v>
      </c>
      <c r="B214" s="6" t="s">
        <v>63</v>
      </c>
      <c r="C214">
        <v>2.8109999999999999</v>
      </c>
    </row>
    <row r="215" spans="1:3" x14ac:dyDescent="0.25">
      <c r="A215" s="16">
        <v>46266</v>
      </c>
      <c r="B215" s="6" t="s">
        <v>64</v>
      </c>
      <c r="C215">
        <v>3.4870000000000001</v>
      </c>
    </row>
    <row r="216" spans="1:3" x14ac:dyDescent="0.25">
      <c r="A216" s="16">
        <v>46266</v>
      </c>
      <c r="B216" s="6" t="s">
        <v>65</v>
      </c>
      <c r="C216">
        <v>25.74</v>
      </c>
    </row>
    <row r="217" spans="1:3" x14ac:dyDescent="0.25">
      <c r="A217" s="16">
        <v>46266</v>
      </c>
      <c r="B217" s="6" t="s">
        <v>66</v>
      </c>
      <c r="C217">
        <v>25.369</v>
      </c>
    </row>
    <row r="218" spans="1:3" x14ac:dyDescent="0.25">
      <c r="A218" s="16">
        <v>46266</v>
      </c>
      <c r="B218" s="6" t="s">
        <v>67</v>
      </c>
      <c r="C218">
        <v>22.588999999999999</v>
      </c>
    </row>
    <row r="219" spans="1:3" x14ac:dyDescent="0.25">
      <c r="A219" s="16">
        <v>46266</v>
      </c>
      <c r="B219" s="6" t="s">
        <v>68</v>
      </c>
      <c r="C219">
        <v>1.633</v>
      </c>
    </row>
    <row r="220" spans="1:3" x14ac:dyDescent="0.25">
      <c r="A220" s="16">
        <v>46266</v>
      </c>
      <c r="B220" s="6" t="s">
        <v>69</v>
      </c>
      <c r="C220">
        <v>43.811999999999998</v>
      </c>
    </row>
    <row r="221" spans="1:3" x14ac:dyDescent="0.25">
      <c r="A221" s="16">
        <v>46266</v>
      </c>
      <c r="B221" s="6" t="s">
        <v>70</v>
      </c>
      <c r="C221">
        <v>7.2140000000000004</v>
      </c>
    </row>
    <row r="222" spans="1:3" x14ac:dyDescent="0.25">
      <c r="A222" s="16">
        <v>46266</v>
      </c>
      <c r="B222" s="6" t="s">
        <v>71</v>
      </c>
      <c r="C222">
        <v>6.6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Production_data</vt:lpstr>
      <vt:lpstr>Downtime_data</vt:lpstr>
      <vt:lpstr>Size_vise_Production</vt:lpstr>
      <vt:lpstr>Machine_vise_production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2026-09-14T04:43:51Z</dcterms:created>
  <dcterms:modified xsi:type="dcterms:W3CDTF">2026-10-24T06:43:37Z</dcterms:modified>
</cp:coreProperties>
</file>